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vac-my.sharepoint.com/personal/j_strezyk_cavac_fr/Documents/PROGRAMMATION/POSTGIS QFIELD/"/>
    </mc:Choice>
  </mc:AlternateContent>
  <xr:revisionPtr revIDLastSave="28" documentId="8_{A0B39A4D-7BD7-4A6F-9ED7-2E8BB477AF43}" xr6:coauthVersionLast="47" xr6:coauthVersionMax="47" xr10:uidLastSave="{71C63E5B-31F1-497C-B19B-38E6425B3B43}"/>
  <bookViews>
    <workbookView xWindow="2805" yWindow="1185" windowWidth="21600" windowHeight="11295" tabRatio="601" xr2:uid="{D4ABA27B-1F43-40C7-B7C9-D0B99E0B2B9A}"/>
  </bookViews>
  <sheets>
    <sheet name="Feuil1" sheetId="1" r:id="rId1"/>
    <sheet name="Feuil2" sheetId="2" r:id="rId2"/>
  </sheets>
  <definedNames>
    <definedName name="_xlnm._FilterDatabase" localSheetId="0" hidden="1">Feuil1!$A$1:$I$24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P3" i="1"/>
  <c r="Q3" i="1" s="1"/>
  <c r="P4" i="1"/>
  <c r="Q4" i="1" s="1"/>
  <c r="P5" i="1"/>
  <c r="P6" i="1"/>
  <c r="Q6" i="1" s="1"/>
  <c r="P7" i="1"/>
  <c r="Q7" i="1" s="1"/>
  <c r="P8" i="1"/>
  <c r="P9" i="1"/>
  <c r="Q9" i="1" s="1"/>
  <c r="P10" i="1"/>
  <c r="Q10" i="1" s="1"/>
  <c r="P11" i="1"/>
  <c r="Q11" i="1" s="1"/>
  <c r="P12" i="1"/>
  <c r="P13" i="1"/>
  <c r="P14" i="1"/>
  <c r="Q14" i="1" s="1"/>
  <c r="P15" i="1"/>
  <c r="Q15" i="1" s="1"/>
  <c r="P16" i="1"/>
  <c r="P17" i="1"/>
  <c r="Q17" i="1" s="1"/>
  <c r="P18" i="1"/>
  <c r="Q18" i="1" s="1"/>
  <c r="P19" i="1"/>
  <c r="P20" i="1"/>
  <c r="P21" i="1"/>
  <c r="P22" i="1"/>
  <c r="Q22" i="1" s="1"/>
  <c r="P23" i="1"/>
  <c r="Q23" i="1" s="1"/>
  <c r="P24" i="1"/>
  <c r="P2" i="1"/>
  <c r="Q2" i="1" s="1"/>
  <c r="Q5" i="1"/>
  <c r="Q8" i="1"/>
  <c r="Q12" i="1"/>
  <c r="Q13" i="1"/>
  <c r="Q16" i="1"/>
  <c r="Q19" i="1"/>
  <c r="Q20" i="1"/>
  <c r="Q21" i="1"/>
  <c r="Q24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</calcChain>
</file>

<file path=xl/sharedStrings.xml><?xml version="1.0" encoding="utf-8"?>
<sst xmlns="http://schemas.openxmlformats.org/spreadsheetml/2006/main" count="194" uniqueCount="100">
  <si>
    <t>Code Exploitation</t>
  </si>
  <si>
    <t>Id Parcelle</t>
  </si>
  <si>
    <t>Nom Parcelle</t>
  </si>
  <si>
    <t>Num Ilot</t>
  </si>
  <si>
    <t>Culture</t>
  </si>
  <si>
    <t>Campagne</t>
  </si>
  <si>
    <t>Id Exploitation</t>
  </si>
  <si>
    <t>Espece Precedente</t>
  </si>
  <si>
    <t>Espece Anteprecedente</t>
  </si>
  <si>
    <t>Zone droite</t>
  </si>
  <si>
    <t>Mélange légum./gram. fourrage</t>
  </si>
  <si>
    <t>Ray-grass d'Italie fourrage</t>
  </si>
  <si>
    <t>Maïs fourrage</t>
  </si>
  <si>
    <t>Blé tendre hiver</t>
  </si>
  <si>
    <t>Maïs grain</t>
  </si>
  <si>
    <t>LA CROIX CHIRON_1</t>
  </si>
  <si>
    <t>Zone gauche</t>
  </si>
  <si>
    <t>Ray-grass anglais fourrage</t>
  </si>
  <si>
    <t>PUBERT GOURDON (i)</t>
  </si>
  <si>
    <t>Triticale hiver</t>
  </si>
  <si>
    <t>LA JENTE</t>
  </si>
  <si>
    <t>Ray-grass hybride fourrage</t>
  </si>
  <si>
    <t>Sorgho fourrage</t>
  </si>
  <si>
    <t>PAPY GUY</t>
  </si>
  <si>
    <t>VIGNARD gourdon haut (i)</t>
  </si>
  <si>
    <t>VIGNARD gourdon bas (i)</t>
  </si>
  <si>
    <t>LES LANDES</t>
  </si>
  <si>
    <t>VERGER</t>
  </si>
  <si>
    <t>Ray-grass hybride semence</t>
  </si>
  <si>
    <t>AVENEAU (i)_1</t>
  </si>
  <si>
    <t>PUBERT BIGNON (i)_1</t>
  </si>
  <si>
    <t>les bonnieres (i)_1</t>
  </si>
  <si>
    <t>PUBERT JACKY (i)_1_1</t>
  </si>
  <si>
    <t>PUBERT JACKY_1 (i)_1</t>
  </si>
  <si>
    <t>PUBERT JACKY (i)_2</t>
  </si>
  <si>
    <t>DENIS APREMONT_1</t>
  </si>
  <si>
    <t>Sorgho grain</t>
  </si>
  <si>
    <t>PRE GRAS_1</t>
  </si>
  <si>
    <t>DOUTE (i)_1</t>
  </si>
  <si>
    <t>POIRIERES HAUT_1</t>
  </si>
  <si>
    <t>les petites bonnieres (i)_1</t>
  </si>
  <si>
    <t>VIGNARD CLOUZY (i)_1</t>
  </si>
  <si>
    <t>Surface</t>
  </si>
  <si>
    <t>source</t>
  </si>
  <si>
    <t>logiciel_interne</t>
  </si>
  <si>
    <t>coord</t>
  </si>
  <si>
    <t>POLYGON ((-1.7815997339899519 46.771487857162988, -1.782460950777254 46.771375276695665, -1.7832213381898856 46.771303497568063, -1.7832529619831838 46.771379755399153, -1.7834865521531416 46.771842002263718, -1.7838206427304801 46.77238745127196, -1.7839647466945643 46.77287713271356, -1.7840036527287924 46.773219575889719, -1.7837772352300139 46.7734479780242, -1.7833608897900586 46.773520556223126, -1.7833564656187504 46.77352175088096, -1.7827546075037326 46.773675019786623, -1.7825450429120671 46.773726120558038, -1.7824744621052142 46.773752929469829, -1.7819339577670787 46.773955938612431, -1.781853329929634 46.773987034553649, -1.781678151599154 46.773970166822693, -1.7815582549566307 46.77397970748202, -1.7809572592012803 46.774170086078342, -1.7807948038332708 46.77422716759073, -1.7806411059832083 46.774063433848305, -1.7805573848178 46.77395084468062, -1.7804893839547793 46.773788150383361, -1.7804306019869893 46.773667441439571, -1.7803499187162668 46.773555194706752, -1.7802923684588665 46.773507076526904, -1.7801449642097282 46.773425493912548, -1.7813565308696868 46.772828098801085, -1.7813565307903134 46.772828097903052, -1.7813564521281304 46.77282802226226, -1.7813565516033194 46.772827973213353, -1.7813565515239975 46.772827972314431, -1.780667498222865 46.772165385329004, -1.7803839757619664 46.771914461929796, -1.7801490972501453 46.771728984462882, -1.7815997339899519 46.771487857162988))</t>
  </si>
  <si>
    <t>POLYGON ((-1.7777022721548887 46.775519285599017, -1.7774570580411022 46.774530100412655, -1.7772732826937994 46.773726467427558, -1.777273267591019 46.773726459937741, -1.7760222731995809 46.773892703770322, -1.7753099793804916 46.773993118448288, -1.7751834788012824 46.774010950838196, -1.7749064150078646 46.774048744575651, -1.7749064123916272 46.774048744685125, -1.7742244869490875 46.774141763445243, -1.7743543861608038 46.774868101381394, -1.7743727237917151 46.774967721069181, -1.7745695062645672 46.775028432050753, -1.7747093498199631 46.775052624740852, -1.7751145521290486 46.7750134867613, -1.7751147955686888 46.77501346310418, -1.7751147981851914 46.775013462995716, -1.7751147995723866 46.775013463839507, -1.7756732805403173 46.775677229743408, -1.7759460875452249 46.776019482431934, -1.7760747114667 46.776352579023424, -1.7760747063131692 46.776352580140419, -1.7758724808400113 46.776393826237481, -1.7758724712457103 46.7763938365594, -1.7759107535798024 46.776536201501507, -1.7759814418186717 46.776795936577187, -1.7760837555583908 46.777205899682883, -1.7760447704859055 46.777556072383383, -1.7760824077375879 46.777702678477375, -1.7761679476055652 46.778035877038171, -1.7761679640173889 46.778035884473873, -1.7781589254350578 46.777709545326147, -1.778222367710929 46.777701837903422, -1.778492250184353 46.777650031132254, -1.7786703540280553 46.777621136933, -1.7785317517496082 46.777283352328809, -1.7781269768511689 46.776123746854637, -1.7781269645226272 46.776123741053453, -1.7778539173839421 46.7761421525861, -1.77785391215119 46.776142152804162, -1.7778349844112236 46.776063375443051, -1.7777431249658731 46.776079086738015, -1.7776716512832611 46.775918574268609, -1.7776306994509115 46.775749631023608, -1.7776643730575707 46.775619349450714, -1.7777022721548887 46.775519285599017))</t>
  </si>
  <si>
    <t>POLYGON ((-1.7138839871322711 46.758728827928323, -1.7138821234741957 46.758729417721518, -1.7138806105704811 46.758318884910423, -1.7138754220168737 46.757908494922916, -1.7138666949699868 46.757499522075008, -1.7138469804569818 46.757090991496739, -1.7138356532995218 46.756973556168738, -1.7138593978943255 46.75660262568929, -1.7134735371780594 46.756616655633053, -1.7134391758377809 46.757206538842972, -1.7133916795368278 46.75782461425937, -1.7129937106530364 46.757812972289265, -1.7129139389473529 46.758006697316418, -1.7128527620652254 46.7582045727632, -1.7127482505008853 46.7585449543919, -1.7127396861882642 46.758689655207995, -1.7127533592477651 46.758784732638659, -1.71280820027138 46.758882296668681, -1.7130827425281239 46.759147320392444, -1.7130886480393739 46.759150224066282, -1.7139576470862388 46.7604133344806, -1.7141675864157353 46.760404711072063, -1.714354703210681 46.760358258293216, -1.7144070293885016 46.760335337371444, -1.7144071742482871 46.760335493781781, -1.7144081894651926 46.760334836908555, -1.7144279783327274 46.760326562594344, -1.7144281050173769 46.760326706221534, -1.7146821832542158 46.76021423440293, -1.714361145971468 46.759833056551095, -1.7141147880038519 46.759474859469172, -1.7141077023883988 46.759382224760778, -1.7141103123324954 46.759333156558526, -1.7141816115070059 46.7590096450902, -1.7142007450208452 46.758891300404073, -1.7142278909316191 46.7587586905448, -1.7142241086112704 46.758677341356872, -1.7142098032841826 46.758625577340972, -1.7138839871322711 46.758728827928323))</t>
  </si>
  <si>
    <t>POLYGON ((-1.7094266518277839 46.753797152950007, -1.7094575061283861 46.753797516602035, -1.7094651710380628 46.753802659164847, -1.7094661533835125 46.7537984524832, -1.7095292604102847 46.753784399819644, -1.7096853085457446 46.753784839733662, -1.7118994520535176 46.7538609364261, -1.7119104437607311 46.753860246955782, -1.712305413505224 46.75379613773822, -1.7140276457654342 46.753476912307846, -1.7140290192592798 46.753481010537506, -1.7140656428220842 46.753469951024535, -1.7140798683214036 46.75351240870431, -1.7142987354872778 46.754270506969732, -1.7136566177817323 46.754418465354263, -1.7136566262764878 46.754418586675143, -1.7136566105870714 46.754418590289731, -1.7137398430194619 46.755607310430975, -1.7136834454709273 46.755695990400689, -1.713449309224041 46.755741568813789, -1.7127937331985696 46.75575256636418, -1.7127108980399237 46.75575835493801, -1.7125576192089798 46.755752716949011, -1.712528202827353 46.755750670519092, -1.7122114267718582 46.756553439475383, -1.7112043557801366 46.756580750858163, -1.7111305179186824 46.756587616581108, -1.7098312139577225 46.756540716115872, -1.7100657275603375 46.755643416162854, -1.7102642500260503 46.754673821025371, -1.7102642320040309 46.754673819274579, -1.710264257225933 46.754673696090137, -1.709245205373439 46.7545747158555, -1.7094266518277839 46.753797152950007))</t>
  </si>
  <si>
    <t>POLYGON ((-1.7099599472947178 46.749500358581457, -1.7099102316591006 46.749380764522975, -1.709910231580988 46.74938076362389, -1.7098476851004769 46.748777449950971, -1.7096945352649646 46.748603462928656, -1.7095104988383909 46.748563285333937, -1.7093538314272028 46.748598354372632, -1.7091921067489242 46.748815009927036, -1.7089530267535649 46.749020520503912, -1.7088256883549415 46.749073477865331, -1.7083395690857051 46.749312990184656, -1.7083371906475451 46.750005190835559, -1.7083554668428609 46.750935200187669, -1.7083725060356154 46.751531141830419, -1.7084885919977937 46.751908228185876, -1.7086908170538975 46.752477478055667, -1.7090274121942881 46.7524350267277, -1.7097181604934291 46.752392358458842, -1.7099194988250561 46.752371723546155, -1.7101589052970294 46.752347186763558, -1.7101167936398753 46.752104822369091, -1.7099840612774582 46.751456352643146, -1.7099129504962565 46.750338182318558, -1.7099368457967086 46.749773971938986, -1.7099599472947178 46.749500358581457))</t>
  </si>
  <si>
    <t>POLYGON ((-1.714045112514629 46.753391994849252, -1.7142982286374653 46.754268724325115, -1.7154673601861505 46.754159325564835, -1.7154325573394196 46.754021682890276, -1.7150952626734566 46.75277275576908, -1.7146706196385129 46.751360091312229, -1.7135675787426194 46.751370510747769, -1.713120983001404 46.7514224632352, -1.713495995090857 46.752008035539383, -1.7138966416941961 46.75281412427104, -1.7139999029146471 46.753069516615604, -1.714045112514629 46.753391994849252))</t>
  </si>
  <si>
    <t>POLYGON ((-1.715472960425892 46.754181475207425, -1.7154335524653308 46.754189752320436, -1.7143164651930611 46.754294280416673, -1.7143116557298572 46.7542961422093, -1.7141206441251804 46.754341680652189, -1.7141125423243866 46.754344408315006, -1.7141087130703976 46.754345528969665, -1.7137039569747645 46.754446946576074, -1.7137041731160498 46.7544501867338, -1.7136983266601165 46.7544485452987, -1.7136649554323544 46.754452069182584, -1.7136813613218096 46.75469868639577, -1.7136986576229369 46.754848250573232, -1.7137396593733978 46.755524850708383, -1.7137381013941948 46.755564134038096, -1.7137368394046195 46.755567279765337, -1.7137398569343909 46.755607412459256, -1.7137074910982528 46.755658304596224, -1.7149677759154329 46.755381250286476, -1.7155098482237914 46.755330082533028, -1.7155084620489147 46.755321767038566, -1.7156302186715868 46.7552570470538, -1.7154971831249988 46.754277270920127, -1.715472960425892 46.754181475207425))</t>
  </si>
  <si>
    <t>POLYGON ((-1.7128346307772493 46.755758289660129, -1.7127028209026 46.755770224341148, -1.712528573153141 46.755763060737124, -1.71252838460015 46.755763065774367, -1.7125284233229732 46.755765715184793, -1.7122114263216348 46.756553564085266, -1.7140520937310637 46.756465907870336, -1.7156790173418166 46.75634466423962, -1.7155098483801314 46.755330084330154, -1.7149677760717561 46.755381252083637, -1.7137074899467619 46.755658306446996, -1.7136834450244762 46.755696115010494, -1.7135978789333097 46.755716695692023, -1.7134974209176614 46.755738835094249, -1.7134929966595587 46.755740027066828, -1.713428991091305 46.755747445698582, -1.7128346307772493 46.755758289660129))</t>
  </si>
  <si>
    <t>POLYGON ((-1.7199263237196964 46.751065677811923, -1.7199505071983652 46.750910130187272, -1.7199438027589804 46.75060101520355, -1.720063414550028 46.7498660832234, -1.7202442795977118 46.7494443378643, -1.7193742975861797 46.749411931735246, -1.7189742610891705 46.749438487308261, -1.7185656498232378 46.749493176103449, -1.7181507322134624 46.749557106775384, -1.7181487570158247 46.74965114617104, -1.7181593310653616 46.749888499106312, -1.7181530566646857 46.7500171865983, -1.7181092448573809 46.750104859724217, -1.7180562321332253 46.750234584141467, -1.7180295368948009 46.750392271206067, -1.7180352627097313 46.750479170194787, -1.7180989551250445 46.751105433571489, -1.7181350839384659 46.75114056972761, -1.7182236138942248 46.751144506388904, -1.71868437403456 46.751097777384544, -1.7191036213968069 46.751017394879447, -1.7194354172737389 46.751008799917464, -1.7198392231572064 46.7510464919517, -1.7199263237196964 46.751065677811923))</t>
  </si>
  <si>
    <t>POLYGON ((-1.7203811473447386 46.747685437911677, -1.7203624165144882 46.747547963002873, -1.7183291219076575 46.747594330089065, -1.7183264016972413 46.747595386360061, -1.71830198124078 46.747633175606161, -1.7182705165594203 46.747693821993956, -1.718249593781862 46.747797010391942, -1.7182496514713881 46.747797009823479, -1.7182495939383489 46.747797012189977, -1.7182113876985063 46.74798543897186, -1.7181501774569636 46.748253147907846, -1.7181180064633379 46.748495669121986, -1.7181765988747975 46.748873368110793, -1.7181641428285936 46.749046886416643, -1.7181526859594645 46.7494640875335, -1.7181507320569795 46.749557104977455, -1.7185656496668711 46.749493174305485, -1.7189742609325243 46.749438485510233, -1.7193742974296571 46.749411929937295, -1.7202442794411525 46.749444336066261, -1.7202843885435288 46.749067301903466, -1.7203034344809163 46.748695249184024, -1.72042583084601 46.7486046956183, -1.7204200610843146 46.748601790369371, -1.7204192445393718 46.748586399510074, -1.7204189765034217 46.748586320336329, -1.720418802932526 46.748578298644048, -1.7204175024746109 46.748557335202491, -1.7204165369850117 46.748303742812126, -1.72038608739552 46.747771742410372, -1.7203860295493527 46.747771741181872, -1.7203860872388386 46.747771740612464, -1.7203811473447386 46.747685437911677))</t>
  </si>
  <si>
    <t>POLYGON ((-1.6790189649129235 46.797715468333294, -1.6794474772412187 46.795809039093839, -1.6798769890201428 46.793837769254232, -1.6810165753301702 46.793760451023033, -1.6820388946223759 46.793503564483743, -1.6808995421268105 46.797925952171283, -1.6790189649129235 46.797715468333294))</t>
  </si>
  <si>
    <t>POLYGON ((-1.7153764020319153 46.75328762635548, -1.7161833903677925 46.753148900787892, -1.7161643357340974 46.752930446594156, -1.7160600204095715 46.752825214445068, -1.7158438134336038 46.752610013619005, -1.715887206495416 46.7525586756099, -1.7163390649410029 46.751781649234715, -1.7163176441167385 46.751658993828912, -1.7161544816882546 46.751212839020823, -1.7159709260641491 46.7510610393335, -1.7157124785210989 46.751049311093006, -1.7154216691093902 46.751065311332205, -1.7148309770723598 46.7511095095549, -1.7147596916626191 46.751144351742305, -1.7148959379994413 46.751638367033735, -1.7150316906624465 46.752084416448525, -1.7153764020319153 46.75328762635548))</t>
  </si>
  <si>
    <t>POLYGON ((-1.717925038979113 46.751951023055575, -1.7180080713200943 46.751214182798705, -1.7171793289114317 46.751235664200138, -1.7170286211080998 46.751268395980176, -1.7169163671748819 46.751333282953482, -1.7167836680024584 46.751685804812361, -1.7167762802940698 46.751799670839809, -1.7168619736217348 46.7520822925108, -1.717598342609252 46.752021988951739, -1.717925038979113 46.751951023055575))</t>
  </si>
  <si>
    <t>POLYGON ((-1.7216124454715682 46.7507068435012, -1.7216456460000553 46.750457698286674, -1.7216863201294765 46.750317865598134, -1.7217116505829912 46.750110384433818, -1.7216940015508997 46.750094823008219, -1.7211221366715039 46.750075775273928, -1.7208793686137926 46.750238505534824, -1.720608252762446 46.750376109547716, -1.720536088690902 46.750384927059308, -1.7205035776553439 46.750608757217407, -1.7205242055272847 46.75072086063102, -1.7206014608466169 46.750890688702086, -1.7206734532192109 46.751009297691695, -1.7206757897225526 46.751013297612822, -1.7206766780714817 46.7510176818381, -1.7206801772929035 46.751176540452434, -1.7206808540763476 46.751204309983841, -1.7207855299194281 46.751217677579817, -1.7216090709548255 46.751306578776422, -1.7221161882754141 46.751368853726873, -1.7221238668921892 46.751295064976986, -1.7220448596249831 46.750992345558132, -1.7219882531672732 46.75086593943427, -1.7219565175480529 46.750849251119931, -1.7219013886779084 46.750813778552, -1.7217663917969055 46.750777447829215, -1.7216118898420945 46.750711011123919, -1.7216124454715682 46.7507068435012))</t>
  </si>
  <si>
    <t>POLYGON ((-1.7085111040194831 46.752487231004814, -1.7084619420342084 46.752241046070786, -1.7083857731386884 46.751883800361128, -1.7083436443678268 46.751862132784588, -1.7076907031746478 46.751860283936026, -1.7067060243900987 46.751876812481164, -1.706577025285958 46.751910742336008, -1.706575137041821 46.752688837389776, -1.7066078689764446 46.75268225239595, -1.7069013458771378 46.752663055405392, -1.707382643165527 46.752607513237862, -1.7080981820131003 46.752530425774466, -1.7085111040194831 46.752487231004814))</t>
  </si>
  <si>
    <t>POLYGON ((-1.7192434029843058 46.754684440691676, -1.7192635115350432 46.755079794752739, -1.7192635116133643 46.755079795650822, -1.7192244102049896 46.755316870431784, -1.7192048594511333 46.755435408711506, -1.719211336938236 46.755482252628525, -1.7204396289527089 46.755491990346052, -1.7217998626286728 46.755502170754077, -1.7219583246606918 46.754622196559623, -1.7219583173392026 46.754622187840667, -1.7214605079750716 46.754432415297295, -1.7214605065890256 46.754432414451976, -1.7213912694592788 46.754413556218459, -1.7213220310698474 46.75439469799759, -1.7213006984675823 46.754391511223211, -1.721248833164635 46.754383765375543, -1.7212488290067216 46.754383762840384, -1.7209697018568946 46.754342073847177, -1.7204086431512358 46.754279238039558, -1.7203913685100261 46.754160622190113, -1.7203913658945593 46.754160622297427, -1.7197962424818247 46.754185101617644, -1.7197962411740866 46.754185101671261, -1.7195587544394859 46.754212381067511, -1.7195687998175915 46.754367821304989, -1.7195674714240556 46.754367893980621, -1.7195712766717515 46.754372633601747, -1.7195763980755046 46.754670745662104, -1.7192434029843058 46.754684440691676))</t>
  </si>
  <si>
    <t>POLYGON ((-1.7325010293334171 46.753410438180012, -1.7326691406106232 46.753478134478044, -1.7325447600440451 46.753710032611693, -1.7324773172411763 46.7537733397516, -1.7323364245147577 46.754638416102026, -1.7322365069499392 46.754705587934623, -1.7321709330277193 46.755012814516455, -1.7321225261229252 46.755065684712029, -1.7321673343159787 46.75510839677456, -1.7322344838785129 46.755142430116955, -1.7325365809764304 46.755163166081324, -1.733257588093648 46.755209198517711, -1.7332839516666698 46.755075243237414, -1.7334803948711413 46.754131824285054, -1.7335639318738993 46.753731921404267, -1.7343813339375198 46.753955898647909, -1.7343905054750914 46.7538841972815, -1.7344515812496095 46.753406771194555, -1.734445474359485 46.75340747417146, -1.7340660009853326 46.753300640976413, -1.7340313639641085 46.75331019627739, -1.7325010293334171 46.753410438180012))</t>
  </si>
  <si>
    <t>POLYGON ((-1.7307591371990765 46.755011235046034, -1.7307638789224975 46.755047068963684, -1.7307821640067895 46.755048454738535, -1.7313577093263608 46.755092079816912, -1.7313021122399814 46.755470063725319, -1.7313827106927602 46.755491275577988, -1.7317127774694989 46.755409924419439, -1.7318865871340692 46.755251037525511, -1.7321721235308107 46.753813257294709, -1.731378143315667 46.753715835818156, -1.7313099662089244 46.753823371523005, -1.7310493403248914 46.753816365433181, -1.7310295735880523 46.753815832778294, -1.7310199592459985 46.7538475500352, -1.7310179258618132 46.753848146217507, -1.7307657968799861 46.755008592691674, -1.7307591371990765 46.755011235046034))</t>
  </si>
  <si>
    <t>POLYGON ((-1.7180957456153192 46.747960714690855, -1.7181480094128241 46.747698786632149, -1.7178174839379763 46.747676478523054, -1.717359813665557 46.747841331190529, -1.7169452137254546 46.748036704230437, -1.7169538494756258 46.748212873044139, -1.7166456442052014 46.748328011633149, -1.7165513205007255 46.748331348705349, -1.7165011513154069 46.748341437989893, -1.7164338176425196 46.748365403089934, -1.7163318267723953 46.748407299546784, -1.7163785518592525 46.74870908633627, -1.7162321764590085 46.748860777897093, -1.716164407298288 46.748958184458381, -1.71607838981544 46.749031355288679, -1.7162805748815024 46.7492843567897, -1.7165639569341149 46.749538441109628, -1.7168016485529762 46.74965801795252, -1.7168016489222302 46.749658007112565, -1.7168016502297323 46.749658007058983, -1.7168016524322747 46.749657987124557, -1.7168016516937312 46.749658008802577, -1.7168150980287802 46.749664772271451, -1.7168164912641253 46.7500980361277, -1.7168169763611842 46.750248929089643, -1.7168086930840425 46.750698200875142, -1.7167882797024523 46.751087986556122, -1.716812134287663 46.751164578974809, -1.7168438497804377 46.751266644883508, -1.7170315605589048 46.751227990394277, -1.7173355576909248 46.751175894736704, -1.7174856745416147 46.751195340270257, -1.7177470528897898 46.751196410365417, -1.7179002647031649 46.7511971457586, -1.7180097302495048 46.751155122069669, -1.7179982534423475 46.750922244232086, -1.717944913414263 46.750612431288836, -1.7179400398267262 46.750306126895559, -1.7179745547907235 46.750007584749184, -1.7179757818356949 46.749643211343532, -1.7179759308801552 46.749642390697453, -1.718015115518815 46.7494271855543, -1.7180503073855018 46.749177143743815, -1.7180334685341503 46.748751454603415, -1.7180315623245692 46.748406873790984, -1.7180952102303568 46.747963624952412, -1.718095211381462 46.747963623100773, -1.7180957456153192 46.747960714690855))</t>
  </si>
  <si>
    <t>POLYGON ((-1.7729716023299815 46.770629010748536, -1.77363288008583 46.769836377538745, -1.7736516561621469 46.769813902445208, -1.7737528401330784 46.76966372508457, -1.7738569663473505 46.769512378861954, -1.7739222316447192 46.769383080169874, -1.7739744927735954 46.769221217174049, -1.773981737715411 46.76919824740218, -1.7740916218563276 46.7689052934895, -1.7756127932368231 46.769194270489123, -1.775623431312531 46.7691959567091, -1.7757408389906737 46.769198955615629, -1.7757694450196051 46.769199993442136, -1.7763459899224088 46.769156536974542, -1.7779838466909719 46.769065576341262, -1.7777907239470698 46.769368629458022, -1.7774370901717296 46.769911895761638, -1.7770601024260417 46.770425029918492, -1.7766284888781232 46.77087199727729, -1.7761494871335259 46.771327907311779, -1.7758036403258226 46.771619027489905, -1.7757505612176594 46.7716322941035, -1.7756475914873096 46.771621550986609, -1.7749099647805309 46.771246586946077, -1.7745831273617141 46.771097317949419, -1.7744055075854164 46.771033525576662, -1.7743498425928113 46.771012820689073, -1.7743268160742023 46.771006426772338, -1.7743085371585143 46.771002956462247, -1.7737478376371663 46.770860038532462, -1.7729675342305395 46.770633188345215, -1.7729716023299815 46.770629010748536))</t>
  </si>
  <si>
    <t>POLYGON ((-1.7816958547456669 46.779182199345541, -1.7795571091432061 46.7794481257581, -1.7796211902894237 46.780123471704194, -1.7808749349888591 46.780020988334918, -1.7817642642221456 46.779901213601079, -1.7817127489013693 46.779403507305133, -1.7816958547456669 46.779182199345541))</t>
  </si>
  <si>
    <t>POLYGON ((-1.7309056773015488 46.749602669421613, -1.7309805898506589 46.74956078561479, -1.731549597506834 46.748404983786052, -1.7315456722066387 46.748399357379014, -1.7313783653074857 46.748391936998651, -1.7309034283475517 46.7484401598053, -1.7303193035621529 46.748550160502667, -1.7299828218041919 46.748513913077012, -1.7294717660672734 46.748506340489506, -1.7291163944490542 46.748492349007385, -1.7288023748467556 46.748530958314916, -1.728916760450482 46.748868068289163, -1.7289610593482636 46.749003115116693, -1.7291059971906402 46.749412837617896, -1.7309056773015488 46.749602669421613))</t>
  </si>
  <si>
    <t>POLYGON ((-1.7336356224565077 46.747145482671286, -1.733631497934921 46.747018217580738, -1.7301952719736347 46.747288811269783, -1.7302029652317366 46.747579763206843, -1.7298424006854165 46.74764165886878, -1.7297550812774556 46.747635712343353, -1.7296096277783912 46.747602888838813, -1.7294053644268184 46.747604888083579, -1.7293352048258881 46.747636419178967, -1.7292989529962177 46.747698957704685, -1.7292648282583103 46.747784902577536, -1.7291527344713225 46.747813388495764, -1.7290391911547409 46.747825228618012, -1.7288500916157155 46.747806769116906, -1.7285600174763658 46.747646463377315, -1.7281245455258132 46.747800676569184, -1.7280885157529193 46.747876099875732, -1.7280798652449552 46.7480095304662, -1.7282230816438688 46.7483161336352, -1.7284333254343147 46.7484562578058, -1.7287969117798481 46.748514860505637, -1.7288023733824081 46.748530956571571, -1.7291163943707561 46.748492348108321, -1.7294717659889161 46.748506339591337, -1.7299828229548977 46.748513911225182, -1.730319302097749 46.748550158759272, -1.7309034281906435 46.748440158007277, -1.7311869908935578 46.748411367060804, -1.731293526739569 46.748400434395684, -1.7312820671222302 46.748363616438468, -1.7314970306386817 46.7483601218704, -1.731695370851094 46.748365068920464, -1.7318400169621837 46.748391323111925, -1.7322406753642281 46.748347353310081, -1.7328615368881406 46.748180935502248, -1.7329321815677192 46.748164894288557, -1.7329398996579726 46.747585697870967, -1.7329410547375081 46.747540728550767, -1.733157656674891 46.747516280400667, -1.7332847294119689 46.747439810866936, -1.7336356224565077 46.747145482671286))</t>
  </si>
  <si>
    <t>Transform</t>
  </si>
  <si>
    <t>Code Producteur</t>
  </si>
  <si>
    <t>Exploitation</t>
  </si>
  <si>
    <t>Code Edi Parcelle</t>
  </si>
  <si>
    <t>Type Analyse</t>
  </si>
  <si>
    <t>Prelevement</t>
  </si>
  <si>
    <t>Centroide</t>
  </si>
  <si>
    <t>Date Creation</t>
  </si>
  <si>
    <t>Code Supprime</t>
  </si>
  <si>
    <t>SCEA LE PETIT LUNDI</t>
  </si>
  <si>
    <t>Grande Lusseau</t>
  </si>
  <si>
    <t>9,66</t>
  </si>
  <si>
    <t>E4</t>
  </si>
  <si>
    <t>CAVAC</t>
  </si>
  <si>
    <t>POINT(323700.88357041474 2190911.2692614854)</t>
  </si>
  <si>
    <t>N</t>
  </si>
  <si>
    <t>CHARENTONNIERE_1</t>
  </si>
  <si>
    <t>3,2684</t>
  </si>
  <si>
    <t>E3</t>
  </si>
  <si>
    <t>POINT(321612.69607396453 2188472.8423870387)</t>
  </si>
  <si>
    <t>ROUTIERE_1</t>
  </si>
  <si>
    <t>5,3413</t>
  </si>
  <si>
    <t>POINT(319469.31793385686 2188463.2254466466)</t>
  </si>
  <si>
    <t>BOULNIERE_1</t>
  </si>
  <si>
    <t>5,4209</t>
  </si>
  <si>
    <t>POINT(320268.6224409367 2189794.565208649)</t>
  </si>
  <si>
    <t>centroide long</t>
  </si>
  <si>
    <t>centroide lat</t>
  </si>
  <si>
    <t>centroide</t>
  </si>
  <si>
    <t>POUR IMPORT</t>
  </si>
  <si>
    <t>14643,2026,36244818,2,AVENEAU (i)_1,2.5758,Maïs fourrage,Ray-grass d'Italie fourrage,Sorgho fourrage,logiciel_interne,ST_Transform(ST_GeomFromText(POLYGON ((-1.7138839871322711 46.758728827928323, -1.7138821234741957 46.758729417721518, -1.7138806105704811 46.758318884910423, -1.7138754220168737 46.757908494922916, -1.7138666949699868 46.757499522075008, -1.7138469804569818 46.757090991496739, -1.7138356532995218 46.756973556168738, -1.7138593978943255 46.75660262568929, -1.7134735371780594 46.756616655633053, -1.7134391758377809 46.757206538842972, -1.7133916795368278 46.75782461425937, -1.7129937106530364 46.757812972289265, -1.7129139389473529 46.758006697316418, -1.7128527620652254 46.7582045727632, -1.7127482505008853 46.7585449543919, -1.7127396861882642 46.758689655207995, -1.7127533592477651 46.758784732638659, -1.71280820027138 46.758882296668681, -1.7130827425281239 46.759147320392444, -1.7130886480393739 46.759150224066282, -1.7139576470862388 46.7604133344806, -1.7141675864157353 46.760404711072063, -1.714354703210681 46.760358258293216, -1.7144070293885016 46.760335337371444, -1.7144071742482871 46.760335493781781, -1.7144081894651926 46.760334836908555, -1.7144279783327274 46.760326562594344, -1.7144281050173769 46.760326706221534, -1.7146821832542158 46.76021423440293, -1.714361145971468 46.759833056551095, -1.7141147880038519 46.759474859469172, -1.7141077023883988 46.759382224760778, -1.7141103123324954 46.759333156558526, -1.7141816115070059 46.7590096450902, -1.7142007450208452 46.758891300404073, -1.7142278909316191 46.7587586905448, -1.7142241086112704 46.758677341356872, -1.7142098032841826 46.758625577340972, -1.7138839871322711 46.758728827928323)),4326),2154),POLYGON ((-1.7138839871322711 46.758728827928323, -1.7138821234741957 46.758729417721518, -1.7138806105704811 46.758318884910423, -1.7138754220168737 46.757908494922916, -1.7138666949699868 46.757499522075008, -1.7138469804569818 46.757090991496739, -1.7138356532995218 46.756973556168738, -1.7138593978943255 46.75660262568929, -1.7134735371780594 46.756616655633053, -1.7134391758377809 46.757206538842972, -1.7133916795368278 46.75782461425937, -1.7129937106530364 46.757812972289265, -1.7129139389473529 46.758006697316418, -1.7128527620652254 46.7582045727632, -1.7127482505008853 46.7585449543919, -1.7127396861882642 46.758689655207995, -1.7127533592477651 46.758784732638659, -1.71280820027138 46.758882296668681, -1.7130827425281239 46.759147320392444, -1.7130886480393739 46.759150224066282, -1.7139576470862388 46.7604133344806, -1.7141675864157353 46.760404711072063, -1.714354703210681 46.760358258293216, -1.7144070293885016 46.760335337371444, -1.7144071742482871 46.760335493781781, -1.7144081894651926 46.760334836908555, -1.7144279783327274 46.760326562594344, -1.7144281050173769 46.760326706221534, -1.7146821832542158 46.76021423440293, -1.714361145971468 46.759833056551095, -1.7141147880038519 46.759474859469172, -1.7141077023883988 46.759382224760778, -1.7141103123324954 46.759333156558526, -1.7141816115070059 46.7590096450902, -1.7142007450208452 46.758891300404073, -1.7142278909316191 46.7587586905448, -1.7142241086112704 46.758677341356872, -1.7142098032841826 46.758625577340972, -1.7138839871322711 46.758728827928323))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</si>
</sst>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color rgb="FF66666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468CD-624C-430E-A91B-D60814593C96}">
  <dimension ref="A1:Q24"/>
  <sheetViews>
    <sheetView tabSelected="1" workbookViewId="0">
      <selection activeCell="M12" sqref="M12"/>
    </sheetView>
  </sheetViews>
  <sheetFormatPr baseColWidth="10" defaultRowHeight="15" x14ac:dyDescent="0.25"/>
  <cols>
    <col min="13" max="13" width="59.7109375" customWidth="1"/>
  </cols>
  <sheetData>
    <row r="1" spans="1:17" x14ac:dyDescent="0.25">
      <c r="A1" t="s">
        <v>0</v>
      </c>
      <c r="B1" t="s">
        <v>5</v>
      </c>
      <c r="C1" t="s">
        <v>1</v>
      </c>
      <c r="D1" t="s">
        <v>3</v>
      </c>
      <c r="E1" t="s">
        <v>2</v>
      </c>
      <c r="F1" t="s">
        <v>42</v>
      </c>
      <c r="G1" t="s">
        <v>4</v>
      </c>
      <c r="H1" t="s">
        <v>7</v>
      </c>
      <c r="I1" t="s">
        <v>8</v>
      </c>
      <c r="J1" t="s">
        <v>43</v>
      </c>
      <c r="K1" t="s">
        <v>69</v>
      </c>
      <c r="L1" t="s">
        <v>45</v>
      </c>
      <c r="M1" s="3" t="s">
        <v>98</v>
      </c>
      <c r="N1" t="s">
        <v>95</v>
      </c>
      <c r="O1" t="s">
        <v>96</v>
      </c>
      <c r="P1" t="s">
        <v>97</v>
      </c>
    </row>
    <row r="2" spans="1:17" x14ac:dyDescent="0.25">
      <c r="A2">
        <v>14643</v>
      </c>
      <c r="B2">
        <v>2026</v>
      </c>
      <c r="C2">
        <v>37256491</v>
      </c>
      <c r="D2">
        <v>14</v>
      </c>
      <c r="E2" t="s">
        <v>26</v>
      </c>
      <c r="F2">
        <v>6.2080000000000002</v>
      </c>
      <c r="G2" t="s">
        <v>14</v>
      </c>
      <c r="H2" t="s">
        <v>14</v>
      </c>
      <c r="I2" t="s">
        <v>11</v>
      </c>
      <c r="J2" s="2" t="s">
        <v>44</v>
      </c>
      <c r="K2" s="2" t="str">
        <f>"ST_Transform(ST_GeomFromText("&amp;L2&amp;",4326),2154)"</f>
        <v>ST_Transform(ST_GeomFromText(POLYGON ((-1.7815997339899519 46.771487857162988, -1.782460950777254 46.771375276695665, -1.7832213381898856 46.771303497568063, -1.7832529619831838 46.771379755399153, -1.7834865521531416 46.771842002263718, -1.7838206427304801 46.77238745127196, -1.7839647466945643 46.77287713271356, -1.7840036527287924 46.773219575889719, -1.7837772352300139 46.7734479780242, -1.7833608897900586 46.773520556223126, -1.7833564656187504 46.77352175088096, -1.7827546075037326 46.773675019786623, -1.7825450429120671 46.773726120558038, -1.7824744621052142 46.773752929469829, -1.7819339577670787 46.773955938612431, -1.781853329929634 46.773987034553649, -1.781678151599154 46.773970166822693, -1.7815582549566307 46.77397970748202, -1.7809572592012803 46.774170086078342, -1.7807948038332708 46.77422716759073, -1.7806411059832083 46.774063433848305, -1.7805573848178 46.77395084468062, -1.7804893839547793 46.773788150383361, -1.7804306019869893 46.773667441439571, -1.7803499187162668 46.773555194706752, -1.7802923684588665 46.773507076526904, -1.7801449642097282 46.773425493912548, -1.7813565308696868 46.772828098801085, -1.7813565307903134 46.772828097903052, -1.7813564521281304 46.77282802226226, -1.7813565516033194 46.772827973213353, -1.7813565515239975 46.772827972314431, -1.780667498222865 46.772165385329004, -1.7803839757619664 46.771914461929796, -1.7801490972501453 46.771728984462882, -1.7815997339899519 46.771487857162988)),4326),2154)</v>
      </c>
      <c r="L2" t="s">
        <v>46</v>
      </c>
      <c r="M2" t="str">
        <f>_xlfn.TEXTJOIN(",",TRUE,A2:K2)</f>
        <v>14643,2026,37256491,14,LES LANDES,6.208,Maïs grain,Maïs grain,Ray-grass d'Italie fourrage,logiciel_interne,ST_Transform(ST_GeomFromText(POLYGON ((-1.7815997339899519 46.771487857162988, -1.782460950777254 46.771375276695665, -1.7832213381898856 46.771303497568063, -1.7832529619831838 46.771379755399153, -1.7834865521531416 46.771842002263718, -1.7838206427304801 46.77238745127196, -1.7839647466945643 46.77287713271356, -1.7840036527287924 46.773219575889719, -1.7837772352300139 46.7734479780242, -1.7833608897900586 46.773520556223126, -1.7833564656187504 46.77352175088096, -1.7827546075037326 46.773675019786623, -1.7825450429120671 46.773726120558038, -1.7824744621052142 46.773752929469829, -1.7819339577670787 46.773955938612431, -1.781853329929634 46.773987034553649, -1.781678151599154 46.773970166822693, -1.7815582549566307 46.77397970748202, -1.7809572592012803 46.774170086078342, -1.7807948038332708 46.77422716759073, -1.7806411059832083 46.774063433848305, -1.7805573848178 46.77395084468062, -1.7804893839547793 46.773788150383361, -1.7804306019869893 46.773667441439571, -1.7803499187162668 46.773555194706752, -1.7802923684588665 46.773507076526904, -1.7801449642097282 46.773425493912548, -1.7813565308696868 46.772828098801085, -1.7813565307903134 46.772828097903052, -1.7813564521281304 46.77282802226226, -1.7813565516033194 46.772827973213353, -1.7813565515239975 46.772827972314431, -1.780667498222865 46.772165385329004, -1.7803839757619664 46.771914461929796, -1.7801490972501453 46.771728984462882, -1.7815997339899519 46.771487857162988)),4326),2154)</v>
      </c>
      <c r="N2">
        <v>-1.7821349099999999</v>
      </c>
      <c r="O2">
        <v>46.772691999999999</v>
      </c>
      <c r="P2" t="str">
        <f>"POINT("&amp;N2&amp;","&amp;O2&amp;")"</f>
        <v>POINT(-1.78213491,46.772692)</v>
      </c>
      <c r="Q2" t="str">
        <f>"ST_Transform(ST_GeomFromText("&amp;P2&amp;",4326),2154)"</f>
        <v>ST_Transform(ST_GeomFromText(POINT(-1.78213491,46.772692),4326),2154)</v>
      </c>
    </row>
    <row r="3" spans="1:17" x14ac:dyDescent="0.25">
      <c r="A3">
        <v>14643</v>
      </c>
      <c r="B3">
        <v>2026</v>
      </c>
      <c r="C3">
        <v>37256483</v>
      </c>
      <c r="D3">
        <v>21</v>
      </c>
      <c r="E3" t="s">
        <v>20</v>
      </c>
      <c r="F3">
        <v>8.3506999999999998</v>
      </c>
      <c r="G3" t="s">
        <v>14</v>
      </c>
      <c r="H3" t="s">
        <v>14</v>
      </c>
      <c r="I3" t="s">
        <v>21</v>
      </c>
      <c r="J3" s="2" t="s">
        <v>44</v>
      </c>
      <c r="K3" s="2" t="str">
        <f t="shared" ref="K3:K24" si="0">"ST_Transform(ST_GeomFromText("&amp;L3&amp;",4326),2154)"</f>
        <v>ST_Transform(ST_GeomFromText(POLYGON ((-1.7777022721548887 46.775519285599017, -1.7774570580411022 46.774530100412655, -1.7772732826937994 46.773726467427558, -1.777273267591019 46.773726459937741, -1.7760222731995809 46.773892703770322, -1.7753099793804916 46.773993118448288, -1.7751834788012824 46.774010950838196, -1.7749064150078646 46.774048744575651, -1.7749064123916272 46.774048744685125, -1.7742244869490875 46.774141763445243, -1.7743543861608038 46.774868101381394, -1.7743727237917151 46.774967721069181, -1.7745695062645672 46.775028432050753, -1.7747093498199631 46.775052624740852, -1.7751145521290486 46.7750134867613, -1.7751147955686888 46.77501346310418, -1.7751147981851914 46.775013462995716, -1.7751147995723866 46.775013463839507, -1.7756732805403173 46.775677229743408, -1.7759460875452249 46.776019482431934, -1.7760747114667 46.776352579023424, -1.7760747063131692 46.776352580140419, -1.7758724808400113 46.776393826237481, -1.7758724712457103 46.7763938365594, -1.7759107535798024 46.776536201501507, -1.7759814418186717 46.776795936577187, -1.7760837555583908 46.777205899682883, -1.7760447704859055 46.777556072383383, -1.7760824077375879 46.777702678477375, -1.7761679476055652 46.778035877038171, -1.7761679640173889 46.778035884473873, -1.7781589254350578 46.777709545326147, -1.778222367710929 46.777701837903422, -1.778492250184353 46.777650031132254, -1.7786703540280553 46.777621136933, -1.7785317517496082 46.777283352328809, -1.7781269768511689 46.776123746854637, -1.7781269645226272 46.776123741053453, -1.7778539173839421 46.7761421525861, -1.77785391215119 46.776142152804162, -1.7778349844112236 46.776063375443051, -1.7777431249658731 46.776079086738015, -1.7776716512832611 46.775918574268609, -1.7776306994509115 46.775749631023608, -1.7776643730575707 46.775619349450714, -1.7777022721548887 46.775519285599017)),4326),2154)</v>
      </c>
      <c r="L3" t="s">
        <v>47</v>
      </c>
      <c r="M3" t="str">
        <f t="shared" ref="M3:M24" si="1">_xlfn.TEXTJOIN(",",TRUE,A3:K3)</f>
        <v>14643,2026,37256483,21,LA JENTE,8.3507,Maïs grain,Maïs grain,Ray-grass hybride fourrage,logiciel_interne,ST_Transform(ST_GeomFromText(POLYGON ((-1.7777022721548887 46.775519285599017, -1.7774570580411022 46.774530100412655, -1.7772732826937994 46.773726467427558, -1.777273267591019 46.773726459937741, -1.7760222731995809 46.773892703770322, -1.7753099793804916 46.773993118448288, -1.7751834788012824 46.774010950838196, -1.7749064150078646 46.774048744575651, -1.7749064123916272 46.774048744685125, -1.7742244869490875 46.774141763445243, -1.7743543861608038 46.774868101381394, -1.7743727237917151 46.774967721069181, -1.7745695062645672 46.775028432050753, -1.7747093498199631 46.775052624740852, -1.7751145521290486 46.7750134867613, -1.7751147955686888 46.77501346310418, -1.7751147981851914 46.775013462995716, -1.7751147995723866 46.775013463839507, -1.7756732805403173 46.775677229743408, -1.7759460875452249 46.776019482431934, -1.7760747114667 46.776352579023424, -1.7760747063131692 46.776352580140419, -1.7758724808400113 46.776393826237481, -1.7758724712457103 46.7763938365594, -1.7759107535798024 46.776536201501507, -1.7759814418186717 46.776795936577187, -1.7760837555583908 46.777205899682883, -1.7760447704859055 46.777556072383383, -1.7760824077375879 46.777702678477375, -1.7761679476055652 46.778035877038171, -1.7761679640173889 46.778035884473873, -1.7781589254350578 46.777709545326147, -1.778222367710929 46.777701837903422, -1.778492250184353 46.777650031132254, -1.7786703540280553 46.777621136933, -1.7785317517496082 46.777283352328809, -1.7781269768511689 46.776123746854637, -1.7781269645226272 46.776123741053453, -1.7778539173839421 46.7761421525861, -1.77785391215119 46.776142152804162, -1.7778349844112236 46.776063375443051, -1.7777431249658731 46.776079086738015, -1.7776716512832611 46.775918574268609, -1.7776306994509115 46.775749631023608, -1.7776643730575707 46.775619349450714, -1.7777022721548887 46.775519285599017)),4326),2154)</v>
      </c>
      <c r="N3">
        <v>-1.77661789</v>
      </c>
      <c r="O3">
        <v>46.775779</v>
      </c>
      <c r="P3" t="str">
        <f t="shared" ref="P3:P24" si="2">"POINT("&amp;N3&amp;","&amp;O3&amp;")"</f>
        <v>POINT(-1.77661789,46.775779)</v>
      </c>
      <c r="Q3" t="str">
        <f t="shared" ref="Q3:Q24" si="3">"ST_Transform(ST_GeomFromText("&amp;P3&amp;",4326),2154)"</f>
        <v>ST_Transform(ST_GeomFromText(POINT(-1.77661789,46.775779),4326),2154)</v>
      </c>
    </row>
    <row r="4" spans="1:17" x14ac:dyDescent="0.25">
      <c r="A4">
        <v>14643</v>
      </c>
      <c r="B4">
        <v>2026</v>
      </c>
      <c r="C4">
        <v>36244818</v>
      </c>
      <c r="D4">
        <v>2</v>
      </c>
      <c r="E4" t="s">
        <v>29</v>
      </c>
      <c r="F4">
        <v>2.5758000000000001</v>
      </c>
      <c r="G4" t="s">
        <v>12</v>
      </c>
      <c r="H4" t="s">
        <v>11</v>
      </c>
      <c r="I4" t="s">
        <v>22</v>
      </c>
      <c r="J4" s="2" t="s">
        <v>44</v>
      </c>
      <c r="K4" s="2" t="str">
        <f t="shared" si="0"/>
        <v>ST_Transform(ST_GeomFromText(POLYGON ((-1.7138839871322711 46.758728827928323, -1.7138821234741957 46.758729417721518, -1.7138806105704811 46.758318884910423, -1.7138754220168737 46.757908494922916, -1.7138666949699868 46.757499522075008, -1.7138469804569818 46.757090991496739, -1.7138356532995218 46.756973556168738, -1.7138593978943255 46.75660262568929, -1.7134735371780594 46.756616655633053, -1.7134391758377809 46.757206538842972, -1.7133916795368278 46.75782461425937, -1.7129937106530364 46.757812972289265, -1.7129139389473529 46.758006697316418, -1.7128527620652254 46.7582045727632, -1.7127482505008853 46.7585449543919, -1.7127396861882642 46.758689655207995, -1.7127533592477651 46.758784732638659, -1.71280820027138 46.758882296668681, -1.7130827425281239 46.759147320392444, -1.7130886480393739 46.759150224066282, -1.7139576470862388 46.7604133344806, -1.7141675864157353 46.760404711072063, -1.714354703210681 46.760358258293216, -1.7144070293885016 46.760335337371444, -1.7144071742482871 46.760335493781781, -1.7144081894651926 46.760334836908555, -1.7144279783327274 46.760326562594344, -1.7144281050173769 46.760326706221534, -1.7146821832542158 46.76021423440293, -1.714361145971468 46.759833056551095, -1.7141147880038519 46.759474859469172, -1.7141077023883988 46.759382224760778, -1.7141103123324954 46.759333156558526, -1.7141816115070059 46.7590096450902, -1.7142007450208452 46.758891300404073, -1.7142278909316191 46.7587586905448, -1.7142241086112704 46.758677341356872, -1.7142098032841826 46.758625577340972, -1.7138839871322711 46.758728827928323)),4326),2154)</v>
      </c>
      <c r="L4" t="s">
        <v>48</v>
      </c>
      <c r="M4" t="str">
        <f t="shared" si="1"/>
        <v>14643,2026,36244818,2,AVENEAU (i)_1,2.5758,Maïs fourrage,Ray-grass d'Italie fourrage,Sorgho fourrage,logiciel_interne,ST_Transform(ST_GeomFromText(POLYGON ((-1.7138839871322711 46.758728827928323, -1.7138821234741957 46.758729417721518, -1.7138806105704811 46.758318884910423, -1.7138754220168737 46.757908494922916, -1.7138666949699868 46.757499522075008, -1.7138469804569818 46.757090991496739, -1.7138356532995218 46.756973556168738, -1.7138593978943255 46.75660262568929, -1.7134735371780594 46.756616655633053, -1.7134391758377809 46.757206538842972, -1.7133916795368278 46.75782461425937, -1.7129937106530364 46.757812972289265, -1.7129139389473529 46.758006697316418, -1.7128527620652254 46.7582045727632, -1.7127482505008853 46.7585449543919, -1.7127396861882642 46.758689655207995, -1.7127533592477651 46.758784732638659, -1.71280820027138 46.758882296668681, -1.7130827425281239 46.759147320392444, -1.7130886480393739 46.759150224066282, -1.7139576470862388 46.7604133344806, -1.7141675864157353 46.760404711072063, -1.714354703210681 46.760358258293216, -1.7144070293885016 46.760335337371444, -1.7144071742482871 46.760335493781781, -1.7144081894651926 46.760334836908555, -1.7144279783327274 46.760326562594344, -1.7144281050173769 46.760326706221534, -1.7146821832542158 46.76021423440293, -1.714361145971468 46.759833056551095, -1.7141147880038519 46.759474859469172, -1.7141077023883988 46.759382224760778, -1.7141103123324954 46.759333156558526, -1.7141816115070059 46.7590096450902, -1.7142007450208452 46.758891300404073, -1.7142278909316191 46.7587586905448, -1.7142241086112704 46.758677341356872, -1.7142098032841826 46.758625577340972, -1.7138839871322711 46.758728827928323)),4326),2154)</v>
      </c>
      <c r="N4">
        <v>-1.71362466</v>
      </c>
      <c r="O4">
        <v>46.758716</v>
      </c>
      <c r="P4" t="str">
        <f t="shared" si="2"/>
        <v>POINT(-1.71362466,46.758716)</v>
      </c>
      <c r="Q4" t="str">
        <f t="shared" si="3"/>
        <v>ST_Transform(ST_GeomFromText(POINT(-1.71362466,46.758716),4326),2154)</v>
      </c>
    </row>
    <row r="5" spans="1:17" x14ac:dyDescent="0.25">
      <c r="A5">
        <v>14643</v>
      </c>
      <c r="B5">
        <v>2026</v>
      </c>
      <c r="C5">
        <v>36244751</v>
      </c>
      <c r="D5">
        <v>19</v>
      </c>
      <c r="E5" t="s">
        <v>30</v>
      </c>
      <c r="F5">
        <v>8.5691000000000006</v>
      </c>
      <c r="G5" t="s">
        <v>12</v>
      </c>
      <c r="H5" t="s">
        <v>12</v>
      </c>
      <c r="I5" t="s">
        <v>10</v>
      </c>
      <c r="J5" s="2" t="s">
        <v>44</v>
      </c>
      <c r="K5" s="2" t="str">
        <f t="shared" si="0"/>
        <v>ST_Transform(ST_GeomFromText(POLYGON ((-1.7094266518277839 46.753797152950007, -1.7094575061283861 46.753797516602035, -1.7094651710380628 46.753802659164847, -1.7094661533835125 46.7537984524832, -1.7095292604102847 46.753784399819644, -1.7096853085457446 46.753784839733662, -1.7118994520535176 46.7538609364261, -1.7119104437607311 46.753860246955782, -1.712305413505224 46.75379613773822, -1.7140276457654342 46.753476912307846, -1.7140290192592798 46.753481010537506, -1.7140656428220842 46.753469951024535, -1.7140798683214036 46.75351240870431, -1.7142987354872778 46.754270506969732, -1.7136566177817323 46.754418465354263, -1.7136566262764878 46.754418586675143, -1.7136566105870714 46.754418590289731, -1.7137398430194619 46.755607310430975, -1.7136834454709273 46.755695990400689, -1.713449309224041 46.755741568813789, -1.7127937331985696 46.75575256636418, -1.7127108980399237 46.75575835493801, -1.7125576192089798 46.755752716949011, -1.712528202827353 46.755750670519092, -1.7122114267718582 46.756553439475383, -1.7112043557801366 46.756580750858163, -1.7111305179186824 46.756587616581108, -1.7098312139577225 46.756540716115872, -1.7100657275603375 46.755643416162854, -1.7102642500260503 46.754673821025371, -1.7102642320040309 46.754673819274579, -1.710264257225933 46.754673696090137, -1.709245205373439 46.7545747158555, -1.7094266518277839 46.753797152950007)),4326),2154)</v>
      </c>
      <c r="L5" t="s">
        <v>49</v>
      </c>
      <c r="M5" t="str">
        <f t="shared" si="1"/>
        <v>14643,2026,36244751,19,PUBERT BIGNON (i)_1,8.5691,Maïs fourrage,Maïs fourrage,Mélange légum./gram. fourrage,logiciel_interne,ST_Transform(ST_GeomFromText(POLYGON ((-1.7094266518277839 46.753797152950007, -1.7094575061283861 46.753797516602035, -1.7094651710380628 46.753802659164847, -1.7094661533835125 46.7537984524832, -1.7095292604102847 46.753784399819644, -1.7096853085457446 46.753784839733662, -1.7118994520535176 46.7538609364261, -1.7119104437607311 46.753860246955782, -1.712305413505224 46.75379613773822, -1.7140276457654342 46.753476912307846, -1.7140290192592798 46.753481010537506, -1.7140656428220842 46.753469951024535, -1.7140798683214036 46.75351240870431, -1.7142987354872778 46.754270506969732, -1.7136566177817323 46.754418465354263, -1.7136566262764878 46.754418586675143, -1.7136566105870714 46.754418590289731, -1.7137398430194619 46.755607310430975, -1.7136834454709273 46.755695990400689, -1.713449309224041 46.755741568813789, -1.7127937331985696 46.75575256636418, -1.7127108980399237 46.75575835493801, -1.7125576192089798 46.755752716949011, -1.712528202827353 46.755750670519092, -1.7122114267718582 46.756553439475383, -1.7112043557801366 46.756580750858163, -1.7111305179186824 46.756587616581108, -1.7098312139577225 46.756540716115872, -1.7100657275603375 46.755643416162854, -1.7102642500260503 46.754673821025371, -1.7102642320040309 46.754673819274579, -1.710264257225933 46.754673696090137, -1.709245205373439 46.7545747158555, -1.7094266518277839 46.753797152950007)),4326),2154)</v>
      </c>
      <c r="N5">
        <v>-1.7117365</v>
      </c>
      <c r="O5">
        <v>46.754964000000001</v>
      </c>
      <c r="P5" t="str">
        <f t="shared" si="2"/>
        <v>POINT(-1.7117365,46.754964)</v>
      </c>
      <c r="Q5" t="str">
        <f t="shared" si="3"/>
        <v>ST_Transform(ST_GeomFromText(POINT(-1.7117365,46.754964),4326),2154)</v>
      </c>
    </row>
    <row r="6" spans="1:17" x14ac:dyDescent="0.25">
      <c r="A6">
        <v>14643</v>
      </c>
      <c r="B6">
        <v>2026</v>
      </c>
      <c r="C6">
        <v>36244749</v>
      </c>
      <c r="D6">
        <v>22</v>
      </c>
      <c r="E6" t="s">
        <v>31</v>
      </c>
      <c r="F6">
        <v>4.7150999999999996</v>
      </c>
      <c r="G6" t="s">
        <v>12</v>
      </c>
      <c r="H6" t="s">
        <v>12</v>
      </c>
      <c r="I6" t="s">
        <v>12</v>
      </c>
      <c r="J6" s="2" t="s">
        <v>44</v>
      </c>
      <c r="K6" s="2" t="str">
        <f t="shared" si="0"/>
        <v>ST_Transform(ST_GeomFromText(POLYGON ((-1.7099599472947178 46.749500358581457, -1.7099102316591006 46.749380764522975, -1.709910231580988 46.74938076362389, -1.7098476851004769 46.748777449950971, -1.7096945352649646 46.748603462928656, -1.7095104988383909 46.748563285333937, -1.7093538314272028 46.748598354372632, -1.7091921067489242 46.748815009927036, -1.7089530267535649 46.749020520503912, -1.7088256883549415 46.749073477865331, -1.7083395690857051 46.749312990184656, -1.7083371906475451 46.750005190835559, -1.7083554668428609 46.750935200187669, -1.7083725060356154 46.751531141830419, -1.7084885919977937 46.751908228185876, -1.7086908170538975 46.752477478055667, -1.7090274121942881 46.7524350267277, -1.7097181604934291 46.752392358458842, -1.7099194988250561 46.752371723546155, -1.7101589052970294 46.752347186763558, -1.7101167936398753 46.752104822369091, -1.7099840612774582 46.751456352643146, -1.7099129504962565 46.750338182318558, -1.7099368457967086 46.749773971938986, -1.7099599472947178 46.749500358581457)),4326),2154)</v>
      </c>
      <c r="L6" t="s">
        <v>50</v>
      </c>
      <c r="M6" t="str">
        <f t="shared" si="1"/>
        <v>14643,2026,36244749,22,les bonnieres (i)_1,4.7151,Maïs fourrage,Maïs fourrage,Maïs fourrage,logiciel_interne,ST_Transform(ST_GeomFromText(POLYGON ((-1.7099599472947178 46.749500358581457, -1.7099102316591006 46.749380764522975, -1.709910231580988 46.74938076362389, -1.7098476851004769 46.748777449950971, -1.7096945352649646 46.748603462928656, -1.7095104988383909 46.748563285333937, -1.7093538314272028 46.748598354372632, -1.7091921067489242 46.748815009927036, -1.7089530267535649 46.749020520503912, -1.7088256883549415 46.749073477865331, -1.7083395690857051 46.749312990184656, -1.7083371906475451 46.750005190835559, -1.7083554668428609 46.750935200187669, -1.7083725060356154 46.751531141830419, -1.7084885919977937 46.751908228185876, -1.7086908170538975 46.752477478055667, -1.7090274121942881 46.7524350267277, -1.7097181604934291 46.752392358458842, -1.7099194988250561 46.752371723546155, -1.7101589052970294 46.752347186763558, -1.7101167936398753 46.752104822369091, -1.7099840612774582 46.751456352643146, -1.7099129504962565 46.750338182318558, -1.7099368457967086 46.749773971938986, -1.7099599472947178 46.749500358581457)),4326),2154)</v>
      </c>
      <c r="N6">
        <v>-1.70920407</v>
      </c>
      <c r="O6">
        <v>46.750646000000003</v>
      </c>
      <c r="P6" t="str">
        <f t="shared" si="2"/>
        <v>POINT(-1.70920407,46.750646)</v>
      </c>
      <c r="Q6" t="str">
        <f t="shared" si="3"/>
        <v>ST_Transform(ST_GeomFromText(POINT(-1.70920407,46.750646),4326),2154)</v>
      </c>
    </row>
    <row r="7" spans="1:17" x14ac:dyDescent="0.25">
      <c r="A7">
        <v>14643</v>
      </c>
      <c r="B7">
        <v>2026</v>
      </c>
      <c r="C7">
        <v>36244607</v>
      </c>
      <c r="D7">
        <v>5</v>
      </c>
      <c r="E7" t="s">
        <v>32</v>
      </c>
      <c r="F7">
        <v>3.1029</v>
      </c>
      <c r="G7" t="s">
        <v>12</v>
      </c>
      <c r="H7" t="s">
        <v>12</v>
      </c>
      <c r="I7" t="s">
        <v>12</v>
      </c>
      <c r="J7" s="2" t="s">
        <v>44</v>
      </c>
      <c r="K7" s="2" t="str">
        <f t="shared" si="0"/>
        <v>ST_Transform(ST_GeomFromText(POLYGON ((-1.714045112514629 46.753391994849252, -1.7142982286374653 46.754268724325115, -1.7154673601861505 46.754159325564835, -1.7154325573394196 46.754021682890276, -1.7150952626734566 46.75277275576908, -1.7146706196385129 46.751360091312229, -1.7135675787426194 46.751370510747769, -1.713120983001404 46.7514224632352, -1.713495995090857 46.752008035539383, -1.7138966416941961 46.75281412427104, -1.7139999029146471 46.753069516615604, -1.714045112514629 46.753391994849252)),4326),2154)</v>
      </c>
      <c r="L7" t="s">
        <v>51</v>
      </c>
      <c r="M7" t="str">
        <f t="shared" si="1"/>
        <v>14643,2026,36244607,5,PUBERT JACKY (i)_1_1,3.1029,Maïs fourrage,Maïs fourrage,Maïs fourrage,logiciel_interne,ST_Transform(ST_GeomFromText(POLYGON ((-1.714045112514629 46.753391994849252, -1.7142982286374653 46.754268724325115, -1.7154673601861505 46.754159325564835, -1.7154325573394196 46.754021682890276, -1.7150952626734566 46.75277275576908, -1.7146706196385129 46.751360091312229, -1.7135675787426194 46.751370510747769, -1.713120983001404 46.7514224632352, -1.713495995090857 46.752008035539383, -1.7138966416941961 46.75281412427104, -1.7139999029146471 46.753069516615604, -1.714045112514629 46.753391994849252)),4326),2154)</v>
      </c>
      <c r="N7">
        <v>-1.7144219300000001</v>
      </c>
      <c r="O7">
        <v>46.752730999999997</v>
      </c>
      <c r="P7" t="str">
        <f t="shared" si="2"/>
        <v>POINT(-1.71442193,46.752731)</v>
      </c>
      <c r="Q7" t="str">
        <f t="shared" si="3"/>
        <v>ST_Transform(ST_GeomFromText(POINT(-1.71442193,46.752731),4326),2154)</v>
      </c>
    </row>
    <row r="8" spans="1:17" x14ac:dyDescent="0.25">
      <c r="A8">
        <v>14643</v>
      </c>
      <c r="B8">
        <v>2026</v>
      </c>
      <c r="C8">
        <v>36244606</v>
      </c>
      <c r="D8">
        <v>5</v>
      </c>
      <c r="E8" t="s">
        <v>33</v>
      </c>
      <c r="F8">
        <v>1.8606</v>
      </c>
      <c r="G8" t="s">
        <v>12</v>
      </c>
      <c r="H8" t="s">
        <v>12</v>
      </c>
      <c r="I8" t="s">
        <v>12</v>
      </c>
      <c r="J8" s="2" t="s">
        <v>44</v>
      </c>
      <c r="K8" s="2" t="str">
        <f t="shared" si="0"/>
        <v>ST_Transform(ST_GeomFromText(POLYGON ((-1.715472960425892 46.754181475207425, -1.7154335524653308 46.754189752320436, -1.7143164651930611 46.754294280416673, -1.7143116557298572 46.7542961422093, -1.7141206441251804 46.754341680652189, -1.7141125423243866 46.754344408315006, -1.7141087130703976 46.754345528969665, -1.7137039569747645 46.754446946576074, -1.7137041731160498 46.7544501867338, -1.7136983266601165 46.7544485452987, -1.7136649554323544 46.754452069182584, -1.7136813613218096 46.75469868639577, -1.7136986576229369 46.754848250573232, -1.7137396593733978 46.755524850708383, -1.7137381013941948 46.755564134038096, -1.7137368394046195 46.755567279765337, -1.7137398569343909 46.755607412459256, -1.7137074910982528 46.755658304596224, -1.7149677759154329 46.755381250286476, -1.7155098482237914 46.755330082533028, -1.7155084620489147 46.755321767038566, -1.7156302186715868 46.7552570470538, -1.7154971831249988 46.754277270920127, -1.715472960425892 46.754181475207425)),4326),2154)</v>
      </c>
      <c r="L8" t="s">
        <v>52</v>
      </c>
      <c r="M8" t="str">
        <f t="shared" si="1"/>
        <v>14643,2026,36244606,5,PUBERT JACKY_1 (i)_1,1.8606,Maïs fourrage,Maïs fourrage,Maïs fourrage,logiciel_interne,ST_Transform(ST_GeomFromText(POLYGON ((-1.715472960425892 46.754181475207425, -1.7154335524653308 46.754189752320436, -1.7143164651930611 46.754294280416673, -1.7143116557298572 46.7542961422093, -1.7141206441251804 46.754341680652189, -1.7141125423243866 46.754344408315006, -1.7141087130703976 46.754345528969665, -1.7137039569747645 46.754446946576074, -1.7137041731160498 46.7544501867338, -1.7136983266601165 46.7544485452987, -1.7136649554323544 46.754452069182584, -1.7136813613218096 46.75469868639577, -1.7136986576229369 46.754848250573232, -1.7137396593733978 46.755524850708383, -1.7137381013941948 46.755564134038096, -1.7137368394046195 46.755567279765337, -1.7137398569343909 46.755607412459256, -1.7137074910982528 46.755658304596224, -1.7149677759154329 46.755381250286476, -1.7155098482237914 46.755330082533028, -1.7155084620489147 46.755321767038566, -1.7156302186715868 46.7552570470538, -1.7154971831249988 46.754277270920127, -1.715472960425892 46.754181475207425)),4326),2154)</v>
      </c>
      <c r="N8">
        <v>-1.71461909</v>
      </c>
      <c r="O8">
        <v>46.754877999999998</v>
      </c>
      <c r="P8" t="str">
        <f t="shared" si="2"/>
        <v>POINT(-1.71461909,46.754878)</v>
      </c>
      <c r="Q8" t="str">
        <f t="shared" si="3"/>
        <v>ST_Transform(ST_GeomFromText(POINT(-1.71461909,46.754878),4326),2154)</v>
      </c>
    </row>
    <row r="9" spans="1:17" x14ac:dyDescent="0.25">
      <c r="A9">
        <v>14643</v>
      </c>
      <c r="B9">
        <v>2026</v>
      </c>
      <c r="C9">
        <v>36244605</v>
      </c>
      <c r="D9">
        <v>5</v>
      </c>
      <c r="E9" t="s">
        <v>34</v>
      </c>
      <c r="F9">
        <v>2.3952</v>
      </c>
      <c r="G9" t="s">
        <v>12</v>
      </c>
      <c r="H9" t="s">
        <v>12</v>
      </c>
      <c r="I9" t="s">
        <v>12</v>
      </c>
      <c r="J9" s="2" t="s">
        <v>44</v>
      </c>
      <c r="K9" s="2" t="str">
        <f t="shared" si="0"/>
        <v>ST_Transform(ST_GeomFromText(POLYGON ((-1.7128346307772493 46.755758289660129, -1.7127028209026 46.755770224341148, -1.712528573153141 46.755763060737124, -1.71252838460015 46.755763065774367, -1.7125284233229732 46.755765715184793, -1.7122114263216348 46.756553564085266, -1.7140520937310637 46.756465907870336, -1.7156790173418166 46.75634466423962, -1.7155098483801314 46.755330084330154, -1.7149677760717561 46.755381252083637, -1.7137074899467619 46.755658306446996, -1.7136834450244762 46.755696115010494, -1.7135978789333097 46.755716695692023, -1.7134974209176614 46.755738835094249, -1.7134929966595587 46.755740027066828, -1.713428991091305 46.755747445698582, -1.7128346307772493 46.755758289660129)),4326),2154)</v>
      </c>
      <c r="L9" t="s">
        <v>53</v>
      </c>
      <c r="M9" t="str">
        <f t="shared" si="1"/>
        <v>14643,2026,36244605,5,PUBERT JACKY (i)_2,2.3952,Maïs fourrage,Maïs fourrage,Maïs fourrage,logiciel_interne,ST_Transform(ST_GeomFromText(POLYGON ((-1.7128346307772493 46.755758289660129, -1.7127028209026 46.755770224341148, -1.712528573153141 46.755763060737124, -1.71252838460015 46.755763065774367, -1.7125284233229732 46.755765715184793, -1.7122114263216348 46.756553564085266, -1.7140520937310637 46.756465907870336, -1.7156790173418166 46.75634466423962, -1.7155098483801314 46.755330084330154, -1.7149677760717561 46.755381252083637, -1.7137074899467619 46.755658306446996, -1.7136834450244762 46.755696115010494, -1.7135978789333097 46.755716695692023, -1.7134974209176614 46.755738835094249, -1.7134929966595587 46.755740027066828, -1.713428991091305 46.755747445698582, -1.7128346307772493 46.755758289660129)),4326),2154)</v>
      </c>
      <c r="N9">
        <v>-1.7140903000000001</v>
      </c>
      <c r="O9">
        <v>46.756019000000002</v>
      </c>
      <c r="P9" t="str">
        <f t="shared" si="2"/>
        <v>POINT(-1.7140903,46.756019)</v>
      </c>
      <c r="Q9" t="str">
        <f t="shared" si="3"/>
        <v>ST_Transform(ST_GeomFromText(POINT(-1.7140903,46.756019),4326),2154)</v>
      </c>
    </row>
    <row r="10" spans="1:17" x14ac:dyDescent="0.25">
      <c r="A10">
        <v>14643</v>
      </c>
      <c r="B10">
        <v>2026</v>
      </c>
      <c r="C10">
        <v>36243734</v>
      </c>
      <c r="D10">
        <v>10</v>
      </c>
      <c r="E10" t="s">
        <v>24</v>
      </c>
      <c r="F10">
        <v>2.6312000000000002</v>
      </c>
      <c r="G10" t="s">
        <v>12</v>
      </c>
      <c r="H10" t="s">
        <v>13</v>
      </c>
      <c r="I10" t="s">
        <v>12</v>
      </c>
      <c r="J10" s="2" t="s">
        <v>44</v>
      </c>
      <c r="K10" s="2" t="str">
        <f t="shared" si="0"/>
        <v>ST_Transform(ST_GeomFromText(POLYGON ((-1.7199263237196964 46.751065677811923, -1.7199505071983652 46.750910130187272, -1.7199438027589804 46.75060101520355, -1.720063414550028 46.7498660832234, -1.7202442795977118 46.7494443378643, -1.7193742975861797 46.749411931735246, -1.7189742610891705 46.749438487308261, -1.7185656498232378 46.749493176103449, -1.7181507322134624 46.749557106775384, -1.7181487570158247 46.74965114617104, -1.7181593310653616 46.749888499106312, -1.7181530566646857 46.7500171865983, -1.7181092448573809 46.750104859724217, -1.7180562321332253 46.750234584141467, -1.7180295368948009 46.750392271206067, -1.7180352627097313 46.750479170194787, -1.7180989551250445 46.751105433571489, -1.7181350839384659 46.75114056972761, -1.7182236138942248 46.751144506388904, -1.71868437403456 46.751097777384544, -1.7191036213968069 46.751017394879447, -1.7194354172737389 46.751008799917464, -1.7198392231572064 46.7510464919517, -1.7199263237196964 46.751065677811923)),4326),2154)</v>
      </c>
      <c r="L10" t="s">
        <v>54</v>
      </c>
      <c r="M10" t="str">
        <f t="shared" si="1"/>
        <v>14643,2026,36243734,10,VIGNARD gourdon haut (i),2.6312,Maïs fourrage,Blé tendre hiver,Maïs fourrage,logiciel_interne,ST_Transform(ST_GeomFromText(POLYGON ((-1.7199263237196964 46.751065677811923, -1.7199505071983652 46.750910130187272, -1.7199438027589804 46.75060101520355, -1.720063414550028 46.7498660832234, -1.7202442795977118 46.7494443378643, -1.7193742975861797 46.749411931735246, -1.7189742610891705 46.749438487308261, -1.7185656498232378 46.749493176103449, -1.7181507322134624 46.749557106775384, -1.7181487570158247 46.74965114617104, -1.7181593310653616 46.749888499106312, -1.7181530566646857 46.7500171865983, -1.7181092448573809 46.750104859724217, -1.7180562321332253 46.750234584141467, -1.7180295368948009 46.750392271206067, -1.7180352627097313 46.750479170194787, -1.7180989551250445 46.751105433571489, -1.7181350839384659 46.75114056972761, -1.7182236138942248 46.751144506388904, -1.71868437403456 46.751097777384544, -1.7191036213968069 46.751017394879447, -1.7194354172737389 46.751008799917464, -1.7198392231572064 46.7510464919517, -1.7199263237196964 46.751065677811923)),4326),2154)</v>
      </c>
      <c r="N10">
        <v>-1.7190628400000001</v>
      </c>
      <c r="O10">
        <v>46.750247999999999</v>
      </c>
      <c r="P10" t="str">
        <f t="shared" si="2"/>
        <v>POINT(-1.71906284,46.750248)</v>
      </c>
      <c r="Q10" t="str">
        <f t="shared" si="3"/>
        <v>ST_Transform(ST_GeomFromText(POINT(-1.71906284,46.750248),4326),2154)</v>
      </c>
    </row>
    <row r="11" spans="1:17" x14ac:dyDescent="0.25">
      <c r="A11">
        <v>14643</v>
      </c>
      <c r="B11">
        <v>2026</v>
      </c>
      <c r="C11">
        <v>36243733</v>
      </c>
      <c r="D11">
        <v>10</v>
      </c>
      <c r="E11" t="s">
        <v>25</v>
      </c>
      <c r="F11">
        <v>3.4651999999999998</v>
      </c>
      <c r="G11" t="s">
        <v>12</v>
      </c>
      <c r="H11" t="s">
        <v>13</v>
      </c>
      <c r="I11" t="s">
        <v>12</v>
      </c>
      <c r="J11" s="2" t="s">
        <v>44</v>
      </c>
      <c r="K11" s="2" t="str">
        <f t="shared" si="0"/>
        <v>ST_Transform(ST_GeomFromText(POLYGON ((-1.7203811473447386 46.747685437911677, -1.7203624165144882 46.747547963002873, -1.7183291219076575 46.747594330089065, -1.7183264016972413 46.747595386360061, -1.71830198124078 46.747633175606161, -1.7182705165594203 46.747693821993956, -1.718249593781862 46.747797010391942, -1.7182496514713881 46.747797009823479, -1.7182495939383489 46.747797012189977, -1.7182113876985063 46.74798543897186, -1.7181501774569636 46.748253147907846, -1.7181180064633379 46.748495669121986, -1.7181765988747975 46.748873368110793, -1.7181641428285936 46.749046886416643, -1.7181526859594645 46.7494640875335, -1.7181507320569795 46.749557104977455, -1.7185656496668711 46.749493174305485, -1.7189742609325243 46.749438485510233, -1.7193742974296571 46.749411929937295, -1.7202442794411525 46.749444336066261, -1.7202843885435288 46.749067301903466, -1.7203034344809163 46.748695249184024, -1.72042583084601 46.7486046956183, -1.7204200610843146 46.748601790369371, -1.7204192445393718 46.748586399510074, -1.7204189765034217 46.748586320336329, -1.720418802932526 46.748578298644048, -1.7204175024746109 46.748557335202491, -1.7204165369850117 46.748303742812126, -1.72038608739552 46.747771742410372, -1.7203860295493527 46.747771741181872, -1.7203860872388386 46.747771740612464, -1.7203811473447386 46.747685437911677)),4326),2154)</v>
      </c>
      <c r="L11" t="s">
        <v>55</v>
      </c>
      <c r="M11" t="str">
        <f t="shared" si="1"/>
        <v>14643,2026,36243733,10,VIGNARD gourdon bas (i),3.4652,Maïs fourrage,Blé tendre hiver,Maïs fourrage,logiciel_interne,ST_Transform(ST_GeomFromText(POLYGON ((-1.7203811473447386 46.747685437911677, -1.7203624165144882 46.747547963002873, -1.7183291219076575 46.747594330089065, -1.7183264016972413 46.747595386360061, -1.71830198124078 46.747633175606161, -1.7182705165594203 46.747693821993956, -1.718249593781862 46.747797010391942, -1.7182496514713881 46.747797009823479, -1.7182495939383489 46.747797012189977, -1.7182113876985063 46.74798543897186, -1.7181501774569636 46.748253147907846, -1.7181180064633379 46.748495669121986, -1.7181765988747975 46.748873368110793, -1.7181641428285936 46.749046886416643, -1.7181526859594645 46.7494640875335, -1.7181507320569795 46.749557104977455, -1.7185656496668711 46.749493174305485, -1.7189742609325243 46.749438485510233, -1.7193742974296571 46.749411929937295, -1.7202442794411525 46.749444336066261, -1.7202843885435288 46.749067301903466, -1.7203034344809163 46.748695249184024, -1.72042583084601 46.7486046956183, -1.7204200610843146 46.748601790369371, -1.7204192445393718 46.748586399510074, -1.7204189765034217 46.748586320336329, -1.720418802932526 46.748578298644048, -1.7204175024746109 46.748557335202491, -1.7204165369850117 46.748303742812126, -1.72038608739552 46.747771742410372, -1.7203860295493527 46.747771741181872, -1.7203860872388386 46.747771740612464, -1.7203811473447386 46.747685437911677)),4326),2154)</v>
      </c>
      <c r="N11">
        <v>-1.7192592799999999</v>
      </c>
      <c r="O11">
        <v>46.748508999999999</v>
      </c>
      <c r="P11" t="str">
        <f t="shared" si="2"/>
        <v>POINT(-1.71925928,46.748509)</v>
      </c>
      <c r="Q11" t="str">
        <f t="shared" si="3"/>
        <v>ST_Transform(ST_GeomFromText(POINT(-1.71925928,46.748509),4326),2154)</v>
      </c>
    </row>
    <row r="12" spans="1:17" x14ac:dyDescent="0.25">
      <c r="A12">
        <v>14643</v>
      </c>
      <c r="B12">
        <v>2026</v>
      </c>
      <c r="C12">
        <v>36130924</v>
      </c>
      <c r="D12">
        <v>9999</v>
      </c>
      <c r="E12" t="s">
        <v>35</v>
      </c>
      <c r="F12">
        <v>2</v>
      </c>
      <c r="G12" t="s">
        <v>36</v>
      </c>
      <c r="H12" t="s">
        <v>19</v>
      </c>
      <c r="I12" t="s">
        <v>11</v>
      </c>
      <c r="J12" s="2" t="s">
        <v>44</v>
      </c>
      <c r="K12" s="2" t="str">
        <f t="shared" si="0"/>
        <v>ST_Transform(ST_GeomFromText(POLYGON ((-1.6790189649129235 46.797715468333294, -1.6794474772412187 46.795809039093839, -1.6798769890201428 46.793837769254232, -1.6810165753301702 46.793760451023033, -1.6820388946223759 46.793503564483743, -1.6808995421268105 46.797925952171283, -1.6790189649129235 46.797715468333294)),4326),2154)</v>
      </c>
      <c r="L12" t="s">
        <v>56</v>
      </c>
      <c r="M12" t="str">
        <f t="shared" si="1"/>
        <v>14643,2026,36130924,9999,DENIS APREMONT_1,2,Sorgho grain,Triticale hiver,Ray-grass d'Italie fourrage,logiciel_interne,ST_Transform(ST_GeomFromText(POLYGON ((-1.6790189649129235 46.797715468333294, -1.6794474772412187 46.795809039093839, -1.6798769890201428 46.793837769254232, -1.6810165753301702 46.793760451023033, -1.6820388946223759 46.793503564483743, -1.6808995421268105 46.797925952171283, -1.6790189649129235 46.797715468333294)),4326),2154)</v>
      </c>
      <c r="N12">
        <v>-1.680482</v>
      </c>
      <c r="O12">
        <v>46.795744999999997</v>
      </c>
      <c r="P12" t="str">
        <f t="shared" si="2"/>
        <v>POINT(-1.680482,46.795745)</v>
      </c>
      <c r="Q12" t="str">
        <f t="shared" si="3"/>
        <v>ST_Transform(ST_GeomFromText(POINT(-1.680482,46.795745),4326),2154)</v>
      </c>
    </row>
    <row r="13" spans="1:17" x14ac:dyDescent="0.25">
      <c r="A13">
        <v>14643</v>
      </c>
      <c r="B13">
        <v>2026</v>
      </c>
      <c r="C13">
        <v>36130923</v>
      </c>
      <c r="D13">
        <v>6</v>
      </c>
      <c r="E13" t="s">
        <v>37</v>
      </c>
      <c r="F13">
        <v>1.9751000000000001</v>
      </c>
      <c r="G13" t="s">
        <v>36</v>
      </c>
      <c r="H13" t="s">
        <v>11</v>
      </c>
      <c r="I13" t="s">
        <v>11</v>
      </c>
      <c r="J13" s="2" t="s">
        <v>44</v>
      </c>
      <c r="K13" s="2" t="str">
        <f t="shared" si="0"/>
        <v>ST_Transform(ST_GeomFromText(POLYGON ((-1.7153764020319153 46.75328762635548, -1.7161833903677925 46.753148900787892, -1.7161643357340974 46.752930446594156, -1.7160600204095715 46.752825214445068, -1.7158438134336038 46.752610013619005, -1.715887206495416 46.7525586756099, -1.7163390649410029 46.751781649234715, -1.7163176441167385 46.751658993828912, -1.7161544816882546 46.751212839020823, -1.7159709260641491 46.7510610393335, -1.7157124785210989 46.751049311093006, -1.7154216691093902 46.751065311332205, -1.7148309770723598 46.7511095095549, -1.7147596916626191 46.751144351742305, -1.7148959379994413 46.751638367033735, -1.7150316906624465 46.752084416448525, -1.7153764020319153 46.75328762635548)),4326),2154)</v>
      </c>
      <c r="L13" t="s">
        <v>57</v>
      </c>
      <c r="M13" t="str">
        <f t="shared" si="1"/>
        <v>14643,2026,36130923,6,PRE GRAS_1,1.9751,Sorgho grain,Ray-grass d'Italie fourrage,Ray-grass d'Italie fourrage,logiciel_interne,ST_Transform(ST_GeomFromText(POLYGON ((-1.7153764020319153 46.75328762635548, -1.7161833903677925 46.753148900787892, -1.7161643357340974 46.752930446594156, -1.7160600204095715 46.752825214445068, -1.7158438134336038 46.752610013619005, -1.715887206495416 46.7525586756099, -1.7163390649410029 46.751781649234715, -1.7163176441167385 46.751658993828912, -1.7161544816882546 46.751212839020823, -1.7159709260641491 46.7510610393335, -1.7157124785210989 46.751049311093006, -1.7154216691093902 46.751065311332205, -1.7148309770723598 46.7511095095549, -1.7147596916626191 46.751144351742305, -1.7148959379994413 46.751638367033735, -1.7150316906624465 46.752084416448525, -1.7153764020319153 46.75328762635548)),4326),2154)</v>
      </c>
      <c r="N13">
        <v>-1.7155849400000001</v>
      </c>
      <c r="O13">
        <v>46.752015</v>
      </c>
      <c r="P13" t="str">
        <f t="shared" si="2"/>
        <v>POINT(-1.71558494,46.752015)</v>
      </c>
      <c r="Q13" t="str">
        <f t="shared" si="3"/>
        <v>ST_Transform(ST_GeomFromText(POINT(-1.71558494,46.752015),4326),2154)</v>
      </c>
    </row>
    <row r="14" spans="1:17" x14ac:dyDescent="0.25">
      <c r="A14">
        <v>14643</v>
      </c>
      <c r="B14">
        <v>2026</v>
      </c>
      <c r="C14">
        <v>36130922</v>
      </c>
      <c r="D14">
        <v>7</v>
      </c>
      <c r="E14" t="s">
        <v>38</v>
      </c>
      <c r="F14">
        <v>0.75860000000000005</v>
      </c>
      <c r="G14" t="s">
        <v>36</v>
      </c>
      <c r="H14" t="s">
        <v>10</v>
      </c>
      <c r="I14" t="s">
        <v>11</v>
      </c>
      <c r="J14" s="2" t="s">
        <v>44</v>
      </c>
      <c r="K14" s="2" t="str">
        <f t="shared" si="0"/>
        <v>ST_Transform(ST_GeomFromText(POLYGON ((-1.717925038979113 46.751951023055575, -1.7180080713200943 46.751214182798705, -1.7171793289114317 46.751235664200138, -1.7170286211080998 46.751268395980176, -1.7169163671748819 46.751333282953482, -1.7167836680024584 46.751685804812361, -1.7167762802940698 46.751799670839809, -1.7168619736217348 46.7520822925108, -1.717598342609252 46.752021988951739, -1.717925038979113 46.751951023055575)),4326),2154)</v>
      </c>
      <c r="L14" t="s">
        <v>58</v>
      </c>
      <c r="M14" t="str">
        <f t="shared" si="1"/>
        <v>14643,2026,36130922,7,DOUTE (i)_1,0.7586,Sorgho grain,Mélange légum./gram. fourrage,Ray-grass d'Italie fourrage,logiciel_interne,ST_Transform(ST_GeomFromText(POLYGON ((-1.717925038979113 46.751951023055575, -1.7180080713200943 46.751214182798705, -1.7171793289114317 46.751235664200138, -1.7170286211080998 46.751268395980176, -1.7169163671748819 46.751333282953482, -1.7167836680024584 46.751685804812361, -1.7167762802940698 46.751799670839809, -1.7168619736217348 46.7520822925108, -1.717598342609252 46.752021988951739, -1.717925038979113 46.751951023055575)),4326),2154)</v>
      </c>
      <c r="N14">
        <v>-1.71739328</v>
      </c>
      <c r="O14">
        <v>46.751637000000002</v>
      </c>
      <c r="P14" t="str">
        <f t="shared" si="2"/>
        <v>POINT(-1.71739328,46.751637)</v>
      </c>
      <c r="Q14" t="str">
        <f t="shared" si="3"/>
        <v>ST_Transform(ST_GeomFromText(POINT(-1.71739328,46.751637),4326),2154)</v>
      </c>
    </row>
    <row r="15" spans="1:17" x14ac:dyDescent="0.25">
      <c r="A15">
        <v>14643</v>
      </c>
      <c r="B15">
        <v>2026</v>
      </c>
      <c r="C15">
        <v>36130830</v>
      </c>
      <c r="D15">
        <v>11</v>
      </c>
      <c r="E15" t="s">
        <v>39</v>
      </c>
      <c r="F15">
        <v>1.1818</v>
      </c>
      <c r="G15" t="s">
        <v>36</v>
      </c>
      <c r="H15" t="s">
        <v>11</v>
      </c>
      <c r="I15" t="s">
        <v>11</v>
      </c>
      <c r="J15" s="2" t="s">
        <v>44</v>
      </c>
      <c r="K15" s="2" t="str">
        <f t="shared" si="0"/>
        <v>ST_Transform(ST_GeomFromText(POLYGON ((-1.7216124454715682 46.7507068435012, -1.7216456460000553 46.750457698286674, -1.7216863201294765 46.750317865598134, -1.7217116505829912 46.750110384433818, -1.7216940015508997 46.750094823008219, -1.7211221366715039 46.750075775273928, -1.7208793686137926 46.750238505534824, -1.720608252762446 46.750376109547716, -1.720536088690902 46.750384927059308, -1.7205035776553439 46.750608757217407, -1.7205242055272847 46.75072086063102, -1.7206014608466169 46.750890688702086, -1.7206734532192109 46.751009297691695, -1.7206757897225526 46.751013297612822, -1.7206766780714817 46.7510176818381, -1.7206801772929035 46.751176540452434, -1.7206808540763476 46.751204309983841, -1.7207855299194281 46.751217677579817, -1.7216090709548255 46.751306578776422, -1.7221161882754141 46.751368853726873, -1.7221238668921892 46.751295064976986, -1.7220448596249831 46.750992345558132, -1.7219882531672732 46.75086593943427, -1.7219565175480529 46.750849251119931, -1.7219013886779084 46.750813778552, -1.7217663917969055 46.750777447829215, -1.7216118898420945 46.750711011123919, -1.7216124454715682 46.7507068435012)),4326),2154)</v>
      </c>
      <c r="L15" t="s">
        <v>59</v>
      </c>
      <c r="M15" t="str">
        <f t="shared" si="1"/>
        <v>14643,2026,36130830,11,POIRIERES HAUT_1,1.1818,Sorgho grain,Ray-grass d'Italie fourrage,Ray-grass d'Italie fourrage,logiciel_interne,ST_Transform(ST_GeomFromText(POLYGON ((-1.7216124454715682 46.7507068435012, -1.7216456460000553 46.750457698286674, -1.7216863201294765 46.750317865598134, -1.7217116505829912 46.750110384433818, -1.7216940015508997 46.750094823008219, -1.7211221366715039 46.750075775273928, -1.7208793686137926 46.750238505534824, -1.720608252762446 46.750376109547716, -1.720536088690902 46.750384927059308, -1.7205035776553439 46.750608757217407, -1.7205242055272847 46.75072086063102, -1.7206014608466169 46.750890688702086, -1.7206734532192109 46.751009297691695, -1.7206757897225526 46.751013297612822, -1.7206766780714817 46.7510176818381, -1.7206801772929035 46.751176540452434, -1.7206808540763476 46.751204309983841, -1.7207855299194281 46.751217677579817, -1.7216090709548255 46.751306578776422, -1.7221161882754141 46.751368853726873, -1.7221238668921892 46.751295064976986, -1.7220448596249831 46.750992345558132, -1.7219882531672732 46.75086593943427, -1.7219565175480529 46.750849251119931, -1.7219013886779084 46.750813778552, -1.7217663917969055 46.750777447829215, -1.7216118898420945 46.750711011123919, -1.7216124454715682 46.7507068435012)),4326),2154)</v>
      </c>
      <c r="N15">
        <v>-1.7212661</v>
      </c>
      <c r="O15">
        <v>46.750753000000003</v>
      </c>
      <c r="P15" t="str">
        <f t="shared" si="2"/>
        <v>POINT(-1.7212661,46.750753)</v>
      </c>
      <c r="Q15" t="str">
        <f t="shared" si="3"/>
        <v>ST_Transform(ST_GeomFromText(POINT(-1.7212661,46.750753),4326),2154)</v>
      </c>
    </row>
    <row r="16" spans="1:17" x14ac:dyDescent="0.25">
      <c r="A16">
        <v>14643</v>
      </c>
      <c r="B16">
        <v>2026</v>
      </c>
      <c r="C16">
        <v>36130707</v>
      </c>
      <c r="D16">
        <v>23</v>
      </c>
      <c r="E16" t="s">
        <v>40</v>
      </c>
      <c r="F16">
        <v>1.1518999999999999</v>
      </c>
      <c r="G16" t="s">
        <v>12</v>
      </c>
      <c r="H16" t="s">
        <v>19</v>
      </c>
      <c r="I16" t="s">
        <v>12</v>
      </c>
      <c r="J16" s="2" t="s">
        <v>44</v>
      </c>
      <c r="K16" s="2" t="str">
        <f t="shared" si="0"/>
        <v>ST_Transform(ST_GeomFromText(POLYGON ((-1.7085111040194831 46.752487231004814, -1.7084619420342084 46.752241046070786, -1.7083857731386884 46.751883800361128, -1.7083436443678268 46.751862132784588, -1.7076907031746478 46.751860283936026, -1.7067060243900987 46.751876812481164, -1.706577025285958 46.751910742336008, -1.706575137041821 46.752688837389776, -1.7066078689764446 46.75268225239595, -1.7069013458771378 46.752663055405392, -1.707382643165527 46.752607513237862, -1.7080981820131003 46.752530425774466, -1.7085111040194831 46.752487231004814)),4326),2154)</v>
      </c>
      <c r="L16" t="s">
        <v>60</v>
      </c>
      <c r="M16" t="str">
        <f t="shared" si="1"/>
        <v>14643,2026,36130707,23,les petites bonnieres (i)_1,1.1519,Maïs fourrage,Triticale hiver,Maïs fourrage,logiciel_interne,ST_Transform(ST_GeomFromText(POLYGON ((-1.7085111040194831 46.752487231004814, -1.7084619420342084 46.752241046070786, -1.7083857731386884 46.751883800361128, -1.7083436443678268 46.751862132784588, -1.7076907031746478 46.751860283936026, -1.7067060243900987 46.751876812481164, -1.706577025285958 46.751910742336008, -1.706575137041821 46.752688837389776, -1.7066078689764446 46.75268225239595, -1.7069013458771378 46.752663055405392, -1.707382643165527 46.752607513237862, -1.7080981820131003 46.752530425774466, -1.7085111040194831 46.752487231004814)),4326),2154)</v>
      </c>
      <c r="N16">
        <v>-1.7074742999999999</v>
      </c>
      <c r="O16">
        <v>46.752236000000003</v>
      </c>
      <c r="P16" t="str">
        <f t="shared" si="2"/>
        <v>POINT(-1.7074743,46.752236)</v>
      </c>
      <c r="Q16" t="str">
        <f t="shared" si="3"/>
        <v>ST_Transform(ST_GeomFromText(POINT(-1.7074743,46.752236),4326),2154)</v>
      </c>
    </row>
    <row r="17" spans="1:17" x14ac:dyDescent="0.25">
      <c r="A17">
        <v>14643</v>
      </c>
      <c r="B17">
        <v>2026</v>
      </c>
      <c r="C17">
        <v>36130702</v>
      </c>
      <c r="D17">
        <v>8</v>
      </c>
      <c r="E17" t="s">
        <v>41</v>
      </c>
      <c r="F17">
        <v>2.5329999999999999</v>
      </c>
      <c r="G17" t="s">
        <v>12</v>
      </c>
      <c r="H17" t="s">
        <v>17</v>
      </c>
      <c r="I17" t="s">
        <v>17</v>
      </c>
      <c r="J17" s="2" t="s">
        <v>44</v>
      </c>
      <c r="K17" s="2" t="str">
        <f t="shared" si="0"/>
        <v>ST_Transform(ST_GeomFromText(POLYGON ((-1.7192434029843058 46.754684440691676, -1.7192635115350432 46.755079794752739, -1.7192635116133643 46.755079795650822, -1.7192244102049896 46.755316870431784, -1.7192048594511333 46.755435408711506, -1.719211336938236 46.755482252628525, -1.7204396289527089 46.755491990346052, -1.7217998626286728 46.755502170754077, -1.7219583246606918 46.754622196559623, -1.7219583173392026 46.754622187840667, -1.7214605079750716 46.754432415297295, -1.7214605065890256 46.754432414451976, -1.7213912694592788 46.754413556218459, -1.7213220310698474 46.75439469799759, -1.7213006984675823 46.754391511223211, -1.721248833164635 46.754383765375543, -1.7212488290067216 46.754383762840384, -1.7209697018568946 46.754342073847177, -1.7204086431512358 46.754279238039558, -1.7203913685100261 46.754160622190113, -1.7203913658945593 46.754160622297427, -1.7197962424818247 46.754185101617644, -1.7197962411740866 46.754185101671261, -1.7195587544394859 46.754212381067511, -1.7195687998175915 46.754367821304989, -1.7195674714240556 46.754367893980621, -1.7195712766717515 46.754372633601747, -1.7195763980755046 46.754670745662104, -1.7192434029843058 46.754684440691676)),4326),2154)</v>
      </c>
      <c r="L17" t="s">
        <v>61</v>
      </c>
      <c r="M17" t="str">
        <f t="shared" si="1"/>
        <v>14643,2026,36130702,8,VIGNARD CLOUZY (i)_1,2.533,Maïs fourrage,Ray-grass anglais fourrage,Ray-grass anglais fourrage,logiciel_interne,ST_Transform(ST_GeomFromText(POLYGON ((-1.7192434029843058 46.754684440691676, -1.7192635115350432 46.755079794752739, -1.7192635116133643 46.755079795650822, -1.7192244102049896 46.755316870431784, -1.7192048594511333 46.755435408711506, -1.719211336938236 46.755482252628525, -1.7204396289527089 46.755491990346052, -1.7217998626286728 46.755502170754077, -1.7219583246606918 46.754622196559623, -1.7219583173392026 46.754622187840667, -1.7214605079750716 46.754432415297295, -1.7214605065890256 46.754432414451976, -1.7213912694592788 46.754413556218459, -1.7213220310698474 46.75439469799759, -1.7213006984675823 46.754391511223211, -1.721248833164635 46.754383765375543, -1.7212488290067216 46.754383762840384, -1.7209697018568946 46.754342073847177, -1.7204086431512358 46.754279238039558, -1.7203913685100261 46.754160622190113, -1.7203913658945593 46.754160622297427, -1.7197962424818247 46.754185101617644, -1.7197962411740866 46.754185101671261, -1.7195587544394859 46.754212381067511, -1.7195687998175915 46.754367821304989, -1.7195674714240556 46.754367893980621, -1.7195712766717515 46.754372633601747, -1.7195763980755046 46.754670745662104, -1.7192434029843058 46.754684440691676)),4326),2154)</v>
      </c>
      <c r="N17">
        <v>-1.72055106</v>
      </c>
      <c r="O17">
        <v>46.754911</v>
      </c>
      <c r="P17" t="str">
        <f t="shared" si="2"/>
        <v>POINT(-1.72055106,46.754911)</v>
      </c>
      <c r="Q17" t="str">
        <f t="shared" si="3"/>
        <v>ST_Transform(ST_GeomFromText(POINT(-1.72055106,46.754911),4326),2154)</v>
      </c>
    </row>
    <row r="18" spans="1:17" x14ac:dyDescent="0.25">
      <c r="A18">
        <v>14643</v>
      </c>
      <c r="B18">
        <v>2026</v>
      </c>
      <c r="C18">
        <v>35625201</v>
      </c>
      <c r="D18">
        <v>25</v>
      </c>
      <c r="E18" t="s">
        <v>9</v>
      </c>
      <c r="F18">
        <v>2.0085000000000002</v>
      </c>
      <c r="G18" t="s">
        <v>13</v>
      </c>
      <c r="H18" t="s">
        <v>10</v>
      </c>
      <c r="J18" s="2" t="s">
        <v>44</v>
      </c>
      <c r="K18" s="2" t="str">
        <f t="shared" si="0"/>
        <v>ST_Transform(ST_GeomFromText(POLYGON ((-1.7325010293334171 46.753410438180012, -1.7326691406106232 46.753478134478044, -1.7325447600440451 46.753710032611693, -1.7324773172411763 46.7537733397516, -1.7323364245147577 46.754638416102026, -1.7322365069499392 46.754705587934623, -1.7321709330277193 46.755012814516455, -1.7321225261229252 46.755065684712029, -1.7321673343159787 46.75510839677456, -1.7322344838785129 46.755142430116955, -1.7325365809764304 46.755163166081324, -1.733257588093648 46.755209198517711, -1.7332839516666698 46.755075243237414, -1.7334803948711413 46.754131824285054, -1.7335639318738993 46.753731921404267, -1.7343813339375198 46.753955898647909, -1.7343905054750914 46.7538841972815, -1.7344515812496095 46.753406771194555, -1.734445474359485 46.75340747417146, -1.7340660009853326 46.753300640976413, -1.7340313639641085 46.75331019627739, -1.7325010293334171 46.753410438180012)),4326),2154)</v>
      </c>
      <c r="L18" t="s">
        <v>62</v>
      </c>
      <c r="M18" t="str">
        <f t="shared" si="1"/>
        <v>14643,2026,35625201,25,Zone droite,2.0085,Blé tendre hiver,Mélange légum./gram. fourrage,logiciel_interne,ST_Transform(ST_GeomFromText(POLYGON ((-1.7325010293334171 46.753410438180012, -1.7326691406106232 46.753478134478044, -1.7325447600440451 46.753710032611693, -1.7324773172411763 46.7537733397516, -1.7323364245147577 46.754638416102026, -1.7322365069499392 46.754705587934623, -1.7321709330277193 46.755012814516455, -1.7321225261229252 46.755065684712029, -1.7321673343159787 46.75510839677456, -1.7322344838785129 46.755142430116955, -1.7325365809764304 46.755163166081324, -1.733257588093648 46.755209198517711, -1.7332839516666698 46.755075243237414, -1.7334803948711413 46.754131824285054, -1.7335639318738993 46.753731921404267, -1.7343813339375198 46.753955898647909, -1.7343905054750914 46.7538841972815, -1.7344515812496095 46.753406771194555, -1.734445474359485 46.75340747417146, -1.7340660009853326 46.753300640976413, -1.7340313639641085 46.75331019627739, -1.7325010293334171 46.753410438180012)),4326),2154)</v>
      </c>
      <c r="N18">
        <v>-1.7331212899999999</v>
      </c>
      <c r="O18">
        <v>46.754164000000003</v>
      </c>
      <c r="P18" t="str">
        <f t="shared" si="2"/>
        <v>POINT(-1.73312129,46.754164)</v>
      </c>
      <c r="Q18" t="str">
        <f t="shared" si="3"/>
        <v>ST_Transform(ST_GeomFromText(POINT(-1.73312129,46.754164),4326),2154)</v>
      </c>
    </row>
    <row r="19" spans="1:17" x14ac:dyDescent="0.25">
      <c r="A19">
        <v>14643</v>
      </c>
      <c r="B19">
        <v>2026</v>
      </c>
      <c r="C19">
        <v>35625200</v>
      </c>
      <c r="D19">
        <v>26</v>
      </c>
      <c r="E19" t="s">
        <v>16</v>
      </c>
      <c r="F19">
        <v>1.43</v>
      </c>
      <c r="G19" t="s">
        <v>13</v>
      </c>
      <c r="H19" t="s">
        <v>10</v>
      </c>
      <c r="J19" s="2" t="s">
        <v>44</v>
      </c>
      <c r="K19" s="2" t="str">
        <f t="shared" si="0"/>
        <v>ST_Transform(ST_GeomFromText(POLYGON ((-1.7307591371990765 46.755011235046034, -1.7307638789224975 46.755047068963684, -1.7307821640067895 46.755048454738535, -1.7313577093263608 46.755092079816912, -1.7313021122399814 46.755470063725319, -1.7313827106927602 46.755491275577988, -1.7317127774694989 46.755409924419439, -1.7318865871340692 46.755251037525511, -1.7321721235308107 46.753813257294709, -1.731378143315667 46.753715835818156, -1.7313099662089244 46.753823371523005, -1.7310493403248914 46.753816365433181, -1.7310295735880523 46.753815832778294, -1.7310199592459985 46.7538475500352, -1.7310179258618132 46.753848146217507, -1.7307657968799861 46.755008592691674, -1.7307591371990765 46.755011235046034)),4326),2154)</v>
      </c>
      <c r="L19" t="s">
        <v>63</v>
      </c>
      <c r="M19" t="str">
        <f t="shared" si="1"/>
        <v>14643,2026,35625200,26,Zone gauche,1.43,Blé tendre hiver,Mélange légum./gram. fourrage,logiciel_interne,ST_Transform(ST_GeomFromText(POLYGON ((-1.7307591371990765 46.755011235046034, -1.7307638789224975 46.755047068963684, -1.7307821640067895 46.755048454738535, -1.7313577093263608 46.755092079816912, -1.7313021122399814 46.755470063725319, -1.7313827106927602 46.755491275577988, -1.7317127774694989 46.755409924419439, -1.7318865871340692 46.755251037525511, -1.7321721235308107 46.753813257294709, -1.731378143315667 46.753715835818156, -1.7313099662089244 46.753823371523005, -1.7310493403248914 46.753816365433181, -1.7310295735880523 46.753815832778294, -1.7310199592459985 46.7538475500352, -1.7310179258618132 46.753848146217507, -1.7307657968799861 46.755008592691674, -1.7307591371990765 46.755011235046034)),4326),2154)</v>
      </c>
      <c r="N19">
        <v>-1.7314863300000001</v>
      </c>
      <c r="O19">
        <v>46.754520999999997</v>
      </c>
      <c r="P19" t="str">
        <f t="shared" si="2"/>
        <v>POINT(-1.73148633,46.754521)</v>
      </c>
      <c r="Q19" t="str">
        <f t="shared" si="3"/>
        <v>ST_Transform(ST_GeomFromText(POINT(-1.73148633,46.754521),4326),2154)</v>
      </c>
    </row>
    <row r="20" spans="1:17" x14ac:dyDescent="0.25">
      <c r="A20">
        <v>14643</v>
      </c>
      <c r="B20">
        <v>2026</v>
      </c>
      <c r="C20">
        <v>35625199</v>
      </c>
      <c r="D20">
        <v>24</v>
      </c>
      <c r="E20" t="s">
        <v>18</v>
      </c>
      <c r="F20">
        <v>3.9460999999999999</v>
      </c>
      <c r="G20" t="s">
        <v>13</v>
      </c>
      <c r="H20" t="s">
        <v>12</v>
      </c>
      <c r="I20" t="s">
        <v>14</v>
      </c>
      <c r="J20" s="2" t="s">
        <v>44</v>
      </c>
      <c r="K20" s="2" t="str">
        <f t="shared" si="0"/>
        <v>ST_Transform(ST_GeomFromText(POLYGON ((-1.7180957456153192 46.747960714690855, -1.7181480094128241 46.747698786632149, -1.7178174839379763 46.747676478523054, -1.717359813665557 46.747841331190529, -1.7169452137254546 46.748036704230437, -1.7169538494756258 46.748212873044139, -1.7166456442052014 46.748328011633149, -1.7165513205007255 46.748331348705349, -1.7165011513154069 46.748341437989893, -1.7164338176425196 46.748365403089934, -1.7163318267723953 46.748407299546784, -1.7163785518592525 46.74870908633627, -1.7162321764590085 46.748860777897093, -1.716164407298288 46.748958184458381, -1.71607838981544 46.749031355288679, -1.7162805748815024 46.7492843567897, -1.7165639569341149 46.749538441109628, -1.7168016485529762 46.74965801795252, -1.7168016489222302 46.749658007112565, -1.7168016502297323 46.749658007058983, -1.7168016524322747 46.749657987124557, -1.7168016516937312 46.749658008802577, -1.7168150980287802 46.749664772271451, -1.7168164912641253 46.7500980361277, -1.7168169763611842 46.750248929089643, -1.7168086930840425 46.750698200875142, -1.7167882797024523 46.751087986556122, -1.716812134287663 46.751164578974809, -1.7168438497804377 46.751266644883508, -1.7170315605589048 46.751227990394277, -1.7173355576909248 46.751175894736704, -1.7174856745416147 46.751195340270257, -1.7177470528897898 46.751196410365417, -1.7179002647031649 46.7511971457586, -1.7180097302495048 46.751155122069669, -1.7179982534423475 46.750922244232086, -1.717944913414263 46.750612431288836, -1.7179400398267262 46.750306126895559, -1.7179745547907235 46.750007584749184, -1.7179757818356949 46.749643211343532, -1.7179759308801552 46.749642390697453, -1.718015115518815 46.7494271855543, -1.7180503073855018 46.749177143743815, -1.7180334685341503 46.748751454603415, -1.7180315623245692 46.748406873790984, -1.7180952102303568 46.747963624952412, -1.718095211381462 46.747963623100773, -1.7180957456153192 46.747960714690855)),4326),2154)</v>
      </c>
      <c r="L20" t="s">
        <v>64</v>
      </c>
      <c r="M20" t="str">
        <f t="shared" si="1"/>
        <v>14643,2026,35625199,24,PUBERT GOURDON (i),3.9461,Blé tendre hiver,Maïs fourrage,Maïs grain,logiciel_interne,ST_Transform(ST_GeomFromText(POLYGON ((-1.7180957456153192 46.747960714690855, -1.7181480094128241 46.747698786632149, -1.7178174839379763 46.747676478523054, -1.717359813665557 46.747841331190529, -1.7169452137254546 46.748036704230437, -1.7169538494756258 46.748212873044139, -1.7166456442052014 46.748328011633149, -1.7165513205007255 46.748331348705349, -1.7165011513154069 46.748341437989893, -1.7164338176425196 46.748365403089934, -1.7163318267723953 46.748407299546784, -1.7163785518592525 46.74870908633627, -1.7162321764590085 46.748860777897093, -1.716164407298288 46.748958184458381, -1.71607838981544 46.749031355288679, -1.7162805748815024 46.7492843567897, -1.7165639569341149 46.749538441109628, -1.7168016485529762 46.74965801795252, -1.7168016489222302 46.749658007112565, -1.7168016502297323 46.749658007058983, -1.7168016524322747 46.749657987124557, -1.7168016516937312 46.749658008802577, -1.7168150980287802 46.749664772271451, -1.7168164912641253 46.7500980361277, -1.7168169763611842 46.750248929089643, -1.7168086930840425 46.750698200875142, -1.7167882797024523 46.751087986556122, -1.716812134287663 46.751164578974809, -1.7168438497804377 46.751266644883508, -1.7170315605589048 46.751227990394277, -1.7173355576909248 46.751175894736704, -1.7174856745416147 46.751195340270257, -1.7177470528897898 46.751196410365417, -1.7179002647031649 46.7511971457586, -1.7180097302495048 46.751155122069669, -1.7179982534423475 46.750922244232086, -1.717944913414263 46.750612431288836, -1.7179400398267262 46.750306126895559, -1.7179745547907235 46.750007584749184, -1.7179757818356949 46.749643211343532, -1.7179759308801552 46.749642390697453, -1.718015115518815 46.7494271855543, -1.7180503073855018 46.749177143743815, -1.7180334685341503 46.748751454603415, -1.7180315623245692 46.748406873790984, -1.7180952102303568 46.747963624952412, -1.718095211381462 46.747963623100773, -1.7180957456153192 46.747960714690855)),4326),2154)</v>
      </c>
      <c r="N20">
        <v>-1.7173091300000001</v>
      </c>
      <c r="O20">
        <v>46.749419000000003</v>
      </c>
      <c r="P20" t="str">
        <f t="shared" si="2"/>
        <v>POINT(-1.71730913,46.749419)</v>
      </c>
      <c r="Q20" t="str">
        <f t="shared" si="3"/>
        <v>ST_Transform(ST_GeomFromText(POINT(-1.71730913,46.749419),4326),2154)</v>
      </c>
    </row>
    <row r="21" spans="1:17" x14ac:dyDescent="0.25">
      <c r="A21">
        <v>14643</v>
      </c>
      <c r="B21">
        <v>2026</v>
      </c>
      <c r="C21">
        <v>35625180</v>
      </c>
      <c r="D21">
        <v>13</v>
      </c>
      <c r="E21" t="s">
        <v>23</v>
      </c>
      <c r="F21">
        <v>6.6006999999999998</v>
      </c>
      <c r="G21" t="s">
        <v>13</v>
      </c>
      <c r="H21" t="s">
        <v>14</v>
      </c>
      <c r="I21" t="s">
        <v>14</v>
      </c>
      <c r="J21" s="2" t="s">
        <v>44</v>
      </c>
      <c r="K21" s="2" t="str">
        <f t="shared" si="0"/>
        <v>ST_Transform(ST_GeomFromText(POLYGON ((-1.7729716023299815 46.770629010748536, -1.77363288008583 46.769836377538745, -1.7736516561621469 46.769813902445208, -1.7737528401330784 46.76966372508457, -1.7738569663473505 46.769512378861954, -1.7739222316447192 46.769383080169874, -1.7739744927735954 46.769221217174049, -1.773981737715411 46.76919824740218, -1.7740916218563276 46.7689052934895, -1.7756127932368231 46.769194270489123, -1.775623431312531 46.7691959567091, -1.7757408389906737 46.769198955615629, -1.7757694450196051 46.769199993442136, -1.7763459899224088 46.769156536974542, -1.7779838466909719 46.769065576341262, -1.7777907239470698 46.769368629458022, -1.7774370901717296 46.769911895761638, -1.7770601024260417 46.770425029918492, -1.7766284888781232 46.77087199727729, -1.7761494871335259 46.771327907311779, -1.7758036403258226 46.771619027489905, -1.7757505612176594 46.7716322941035, -1.7756475914873096 46.771621550986609, -1.7749099647805309 46.771246586946077, -1.7745831273617141 46.771097317949419, -1.7744055075854164 46.771033525576662, -1.7743498425928113 46.771012820689073, -1.7743268160742023 46.771006426772338, -1.7743085371585143 46.771002956462247, -1.7737478376371663 46.770860038532462, -1.7729675342305395 46.770633188345215, -1.7729716023299815 46.770629010748536)),4326),2154)</v>
      </c>
      <c r="L21" t="s">
        <v>65</v>
      </c>
      <c r="M21" t="str">
        <f t="shared" si="1"/>
        <v>14643,2026,35625180,13,PAPY GUY,6.6007,Blé tendre hiver,Maïs grain,Maïs grain,logiciel_interne,ST_Transform(ST_GeomFromText(POLYGON ((-1.7729716023299815 46.770629010748536, -1.77363288008583 46.769836377538745, -1.7736516561621469 46.769813902445208, -1.7737528401330784 46.76966372508457, -1.7738569663473505 46.769512378861954, -1.7739222316447192 46.769383080169874, -1.7739744927735954 46.769221217174049, -1.773981737715411 46.76919824740218, -1.7740916218563276 46.7689052934895, -1.7756127932368231 46.769194270489123, -1.775623431312531 46.7691959567091, -1.7757408389906737 46.769198955615629, -1.7757694450196051 46.769199993442136, -1.7763459899224088 46.769156536974542, -1.7779838466909719 46.769065576341262, -1.7777907239470698 46.769368629458022, -1.7774370901717296 46.769911895761638, -1.7770601024260417 46.770425029918492, -1.7766284888781232 46.77087199727729, -1.7761494871335259 46.771327907311779, -1.7758036403258226 46.771619027489905, -1.7757505612176594 46.7716322941035, -1.7756475914873096 46.771621550986609, -1.7749099647805309 46.771246586946077, -1.7745831273617141 46.771097317949419, -1.7744055075854164 46.771033525576662, -1.7743498425928113 46.771012820689073, -1.7743268160742023 46.771006426772338, -1.7743085371585143 46.771002956462247, -1.7737478376371663 46.770860038532462, -1.7729675342305395 46.770633188345215, -1.7729716023299815 46.770629010748536)),4326),2154)</v>
      </c>
      <c r="N21">
        <v>-1.7754357999999999</v>
      </c>
      <c r="O21">
        <v>46.770122999999998</v>
      </c>
      <c r="P21" t="str">
        <f t="shared" si="2"/>
        <v>POINT(-1.7754358,46.770123)</v>
      </c>
      <c r="Q21" t="str">
        <f t="shared" si="3"/>
        <v>ST_Transform(ST_GeomFromText(POINT(-1.7754358,46.770123),4326),2154)</v>
      </c>
    </row>
    <row r="22" spans="1:17" x14ac:dyDescent="0.25">
      <c r="A22">
        <v>14643</v>
      </c>
      <c r="B22">
        <v>2026</v>
      </c>
      <c r="C22">
        <v>35625169</v>
      </c>
      <c r="D22">
        <v>16</v>
      </c>
      <c r="E22" t="s">
        <v>15</v>
      </c>
      <c r="F22">
        <v>1.3022</v>
      </c>
      <c r="G22" t="s">
        <v>13</v>
      </c>
      <c r="H22" t="s">
        <v>12</v>
      </c>
      <c r="I22" t="s">
        <v>13</v>
      </c>
      <c r="J22" s="2" t="s">
        <v>44</v>
      </c>
      <c r="K22" s="2" t="str">
        <f t="shared" si="0"/>
        <v>ST_Transform(ST_GeomFromText(POLYGON ((-1.7816958547456669 46.779182199345541, -1.7795571091432061 46.7794481257581, -1.7796211902894237 46.780123471704194, -1.7808749349888591 46.780020988334918, -1.7817642642221456 46.779901213601079, -1.7817127489013693 46.779403507305133, -1.7816958547456669 46.779182199345541)),4326),2154)</v>
      </c>
      <c r="L22" t="s">
        <v>66</v>
      </c>
      <c r="M22" t="str">
        <f t="shared" si="1"/>
        <v>14643,2026,35625169,16,LA CROIX CHIRON_1,1.3022,Blé tendre hiver,Maïs fourrage,Blé tendre hiver,logiciel_interne,ST_Transform(ST_GeomFromText(POLYGON ((-1.7816958547456669 46.779182199345541, -1.7795571091432061 46.7794481257581, -1.7796211902894237 46.780123471704194, -1.7808749349888591 46.780020988334918, -1.7817642642221456 46.779901213601079, -1.7817127489013693 46.779403507305133, -1.7816958547456669 46.779182199345541)),4326),2154)</v>
      </c>
      <c r="N22">
        <v>-1.78067135</v>
      </c>
      <c r="O22">
        <v>46.779668999999998</v>
      </c>
      <c r="P22" t="str">
        <f t="shared" si="2"/>
        <v>POINT(-1.78067135,46.779669)</v>
      </c>
      <c r="Q22" t="str">
        <f t="shared" si="3"/>
        <v>ST_Transform(ST_GeomFromText(POINT(-1.78067135,46.779669),4326),2154)</v>
      </c>
    </row>
    <row r="23" spans="1:17" x14ac:dyDescent="0.25">
      <c r="A23">
        <v>14643</v>
      </c>
      <c r="B23">
        <v>2026</v>
      </c>
      <c r="C23">
        <v>35625165</v>
      </c>
      <c r="D23">
        <v>12</v>
      </c>
      <c r="E23" t="s">
        <v>27</v>
      </c>
      <c r="F23">
        <v>1.9968999999999999</v>
      </c>
      <c r="G23" t="s">
        <v>13</v>
      </c>
      <c r="H23" t="s">
        <v>10</v>
      </c>
      <c r="I23" t="s">
        <v>28</v>
      </c>
      <c r="J23" s="2" t="s">
        <v>44</v>
      </c>
      <c r="K23" s="2" t="str">
        <f t="shared" si="0"/>
        <v>ST_Transform(ST_GeomFromText(POLYGON ((-1.7309056773015488 46.749602669421613, -1.7309805898506589 46.74956078561479, -1.731549597506834 46.748404983786052, -1.7315456722066387 46.748399357379014, -1.7313783653074857 46.748391936998651, -1.7309034283475517 46.7484401598053, -1.7303193035621529 46.748550160502667, -1.7299828218041919 46.748513913077012, -1.7294717660672734 46.748506340489506, -1.7291163944490542 46.748492349007385, -1.7288023748467556 46.748530958314916, -1.728916760450482 46.748868068289163, -1.7289610593482636 46.749003115116693, -1.7291059971906402 46.749412837617896, -1.7309056773015488 46.749602669421613)),4326),2154)</v>
      </c>
      <c r="L23" t="s">
        <v>67</v>
      </c>
      <c r="M23" t="str">
        <f t="shared" si="1"/>
        <v>14643,2026,35625165,12,VERGER,1.9969,Blé tendre hiver,Mélange légum./gram. fourrage,Ray-grass hybride semence,logiciel_interne,ST_Transform(ST_GeomFromText(POLYGON ((-1.7309056773015488 46.749602669421613, -1.7309805898506589 46.74956078561479, -1.731549597506834 46.748404983786052, -1.7315456722066387 46.748399357379014, -1.7313783653074857 46.748391936998651, -1.7309034283475517 46.7484401598053, -1.7303193035621529 46.748550160502667, -1.7299828218041919 46.748513913077012, -1.7294717660672734 46.748506340489506, -1.7291163944490542 46.748492349007385, -1.7288023748467556 46.748530958314916, -1.728916760450482 46.748868068289163, -1.7289610593482636 46.749003115116693, -1.7291059971906402 46.749412837617896, -1.7309056773015488 46.749602669421613)),4326),2154)</v>
      </c>
      <c r="N23">
        <v>-1.7301658099999999</v>
      </c>
      <c r="O23">
        <v>46.748967</v>
      </c>
      <c r="P23" t="str">
        <f t="shared" si="2"/>
        <v>POINT(-1.73016581,46.748967)</v>
      </c>
      <c r="Q23" t="str">
        <f t="shared" si="3"/>
        <v>ST_Transform(ST_GeomFromText(POINT(-1.73016581,46.748967),4326),2154)</v>
      </c>
    </row>
    <row r="24" spans="1:17" x14ac:dyDescent="0.25">
      <c r="A24">
        <v>14643</v>
      </c>
      <c r="B24">
        <v>2026</v>
      </c>
      <c r="C24">
        <v>35625164</v>
      </c>
      <c r="D24">
        <v>12</v>
      </c>
      <c r="E24" t="s">
        <v>27</v>
      </c>
      <c r="F24">
        <v>4.3822999999999999</v>
      </c>
      <c r="G24" t="s">
        <v>13</v>
      </c>
      <c r="H24" t="s">
        <v>10</v>
      </c>
      <c r="I24" t="s">
        <v>28</v>
      </c>
      <c r="J24" s="2" t="s">
        <v>44</v>
      </c>
      <c r="K24" s="2" t="str">
        <f t="shared" si="0"/>
        <v>ST_Transform(ST_GeomFromText(POLYGON ((-1.7336356224565077 46.747145482671286, -1.733631497934921 46.747018217580738, -1.7301952719736347 46.747288811269783, -1.7302029652317366 46.747579763206843, -1.7298424006854165 46.74764165886878, -1.7297550812774556 46.747635712343353, -1.7296096277783912 46.747602888838813, -1.7294053644268184 46.747604888083579, -1.7293352048258881 46.747636419178967, -1.7292989529962177 46.747698957704685, -1.7292648282583103 46.747784902577536, -1.7291527344713225 46.747813388495764, -1.7290391911547409 46.747825228618012, -1.7288500916157155 46.747806769116906, -1.7285600174763658 46.747646463377315, -1.7281245455258132 46.747800676569184, -1.7280885157529193 46.747876099875732, -1.7280798652449552 46.7480095304662, -1.7282230816438688 46.7483161336352, -1.7284333254343147 46.7484562578058, -1.7287969117798481 46.748514860505637, -1.7288023733824081 46.748530956571571, -1.7291163943707561 46.748492348108321, -1.7294717659889161 46.748506339591337, -1.7299828229548977 46.748513911225182, -1.730319302097749 46.748550158759272, -1.7309034281906435 46.748440158007277, -1.7311869908935578 46.748411367060804, -1.731293526739569 46.748400434395684, -1.7312820671222302 46.748363616438468, -1.7314970306386817 46.7483601218704, -1.731695370851094 46.748365068920464, -1.7318400169621837 46.748391323111925, -1.7322406753642281 46.748347353310081, -1.7328615368881406 46.748180935502248, -1.7329321815677192 46.748164894288557, -1.7329398996579726 46.747585697870967, -1.7329410547375081 46.747540728550767, -1.733157656674891 46.747516280400667, -1.7332847294119689 46.747439810866936, -1.7336356224565077 46.747145482671286)),4326),2154)</v>
      </c>
      <c r="L24" t="s">
        <v>68</v>
      </c>
      <c r="M24" t="str">
        <f t="shared" si="1"/>
        <v>14643,2026,35625164,12,VERGER,4.3823,Blé tendre hiver,Mélange légum./gram. fourrage,Ray-grass hybride semence,logiciel_interne,ST_Transform(ST_GeomFromText(POLYGON ((-1.7336356224565077 46.747145482671286, -1.733631497934921 46.747018217580738, -1.7301952719736347 46.747288811269783, -1.7302029652317366 46.747579763206843, -1.7298424006854165 46.74764165886878, -1.7297550812774556 46.747635712343353, -1.7296096277783912 46.747602888838813, -1.7294053644268184 46.747604888083579, -1.7293352048258881 46.747636419178967, -1.7292989529962177 46.747698957704685, -1.7292648282583103 46.747784902577536, -1.7291527344713225 46.747813388495764, -1.7290391911547409 46.747825228618012, -1.7288500916157155 46.747806769116906, -1.7285600174763658 46.747646463377315, -1.7281245455258132 46.747800676569184, -1.7280885157529193 46.747876099875732, -1.7280798652449552 46.7480095304662, -1.7282230816438688 46.7483161336352, -1.7284333254343147 46.7484562578058, -1.7287969117798481 46.748514860505637, -1.7288023733824081 46.748530956571571, -1.7291163943707561 46.748492348108321, -1.7294717659889161 46.748506339591337, -1.7299828229548977 46.748513911225182, -1.730319302097749 46.748550158759272, -1.7309034281906435 46.748440158007277, -1.7311869908935578 46.748411367060804, -1.731293526739569 46.748400434395684, -1.7312820671222302 46.748363616438468, -1.7314970306386817 46.7483601218704, -1.731695370851094 46.748365068920464, -1.7318400169621837 46.748391323111925, -1.7322406753642281 46.748347353310081, -1.7328615368881406 46.748180935502248, -1.7329321815677192 46.748164894288557, -1.7329398996579726 46.747585697870967, -1.7329410547375081 46.747540728550767, -1.733157656674891 46.747516280400667, -1.7332847294119689 46.747439810866936, -1.7336356224565077 46.747145482671286)),4326),2154)</v>
      </c>
      <c r="N24">
        <v>-1.73089611</v>
      </c>
      <c r="O24">
        <v>46.747852999999999</v>
      </c>
      <c r="P24" t="str">
        <f t="shared" si="2"/>
        <v>POINT(-1.73089611,46.747853)</v>
      </c>
      <c r="Q24" t="str">
        <f t="shared" si="3"/>
        <v>ST_Transform(ST_GeomFromText(POINT(-1.73089611,46.747853),4326),2154)</v>
      </c>
    </row>
  </sheetData>
  <autoFilter ref="A1:I24" xr:uid="{FFA468CD-624C-430E-A91B-D60814593C9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8E57-F65C-4CC9-8626-8434C013E1AE}">
  <dimension ref="A1:M15"/>
  <sheetViews>
    <sheetView workbookViewId="0">
      <selection activeCell="B15" sqref="B15"/>
    </sheetView>
  </sheetViews>
  <sheetFormatPr baseColWidth="10" defaultRowHeight="15" x14ac:dyDescent="0.25"/>
  <cols>
    <col min="11" max="11" width="44.42578125" bestFit="1" customWidth="1"/>
  </cols>
  <sheetData>
    <row r="1" spans="1:13" x14ac:dyDescent="0.25">
      <c r="A1" t="s">
        <v>1</v>
      </c>
      <c r="B1" t="s">
        <v>6</v>
      </c>
      <c r="C1" t="s">
        <v>70</v>
      </c>
      <c r="D1" t="s">
        <v>5</v>
      </c>
      <c r="E1" t="s">
        <v>71</v>
      </c>
      <c r="F1" t="s">
        <v>2</v>
      </c>
      <c r="G1" t="s">
        <v>42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 x14ac:dyDescent="0.25">
      <c r="A2">
        <v>36294016</v>
      </c>
      <c r="B2">
        <v>3170719</v>
      </c>
      <c r="C2">
        <v>20066</v>
      </c>
      <c r="D2">
        <v>2026</v>
      </c>
      <c r="E2" t="s">
        <v>78</v>
      </c>
      <c r="F2" t="s">
        <v>79</v>
      </c>
      <c r="G2" t="s">
        <v>80</v>
      </c>
      <c r="H2">
        <v>74</v>
      </c>
      <c r="I2" t="s">
        <v>81</v>
      </c>
      <c r="J2" t="s">
        <v>82</v>
      </c>
      <c r="K2" t="s">
        <v>83</v>
      </c>
      <c r="L2" s="1">
        <v>46293</v>
      </c>
      <c r="M2" t="s">
        <v>84</v>
      </c>
    </row>
    <row r="3" spans="1:13" x14ac:dyDescent="0.25">
      <c r="A3">
        <v>36293547</v>
      </c>
      <c r="B3">
        <v>3170719</v>
      </c>
      <c r="C3">
        <v>20066</v>
      </c>
      <c r="D3">
        <v>2026</v>
      </c>
      <c r="E3" t="s">
        <v>78</v>
      </c>
      <c r="F3" t="s">
        <v>85</v>
      </c>
      <c r="G3" t="s">
        <v>86</v>
      </c>
      <c r="H3">
        <v>12</v>
      </c>
      <c r="I3" t="s">
        <v>87</v>
      </c>
      <c r="J3" t="s">
        <v>82</v>
      </c>
      <c r="K3" t="s">
        <v>88</v>
      </c>
      <c r="L3" s="1">
        <v>46293</v>
      </c>
      <c r="M3" t="s">
        <v>84</v>
      </c>
    </row>
    <row r="4" spans="1:13" x14ac:dyDescent="0.25">
      <c r="A4">
        <v>36293585</v>
      </c>
      <c r="B4">
        <v>3170719</v>
      </c>
      <c r="C4">
        <v>20066</v>
      </c>
      <c r="D4">
        <v>2026</v>
      </c>
      <c r="E4" t="s">
        <v>78</v>
      </c>
      <c r="F4" t="s">
        <v>89</v>
      </c>
      <c r="G4" t="s">
        <v>90</v>
      </c>
      <c r="H4">
        <v>49</v>
      </c>
      <c r="I4" t="s">
        <v>87</v>
      </c>
      <c r="J4" t="s">
        <v>82</v>
      </c>
      <c r="K4" t="s">
        <v>91</v>
      </c>
      <c r="L4" s="1">
        <v>46293</v>
      </c>
      <c r="M4" t="s">
        <v>84</v>
      </c>
    </row>
    <row r="5" spans="1:13" x14ac:dyDescent="0.25">
      <c r="A5">
        <v>36293541</v>
      </c>
      <c r="B5">
        <v>3170719</v>
      </c>
      <c r="C5">
        <v>20066</v>
      </c>
      <c r="D5">
        <v>2026</v>
      </c>
      <c r="E5" t="s">
        <v>78</v>
      </c>
      <c r="F5" t="s">
        <v>92</v>
      </c>
      <c r="G5" t="s">
        <v>93</v>
      </c>
      <c r="H5">
        <v>6</v>
      </c>
      <c r="I5" t="s">
        <v>87</v>
      </c>
      <c r="J5" t="s">
        <v>82</v>
      </c>
      <c r="K5" t="s">
        <v>94</v>
      </c>
      <c r="L5" s="1">
        <v>46293</v>
      </c>
      <c r="M5" t="s">
        <v>84</v>
      </c>
    </row>
    <row r="15" spans="1:13" x14ac:dyDescent="0.25">
      <c r="B1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STREZYK Josephine</dc:creator>
  <cp:lastModifiedBy>STREZYK Josephine</cp:lastModifiedBy>
  <dcterms:created xsi:type="dcterms:W3CDTF">2026-09-28T12:45:35Z</dcterms:created>
  <dcterms:modified xsi:type="dcterms:W3CDTF">2026-09-29T14:37:04Z</dcterms:modified>
</cp:coreProperties>
</file>